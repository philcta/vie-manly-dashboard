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05"/>
  <workbookPr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/Users/christophedenoux/Library/Mobile Documents/com~apple~CloudDocs/Vie Market &amp; Bar/Inventory mgt/"/>
    </mc:Choice>
  </mc:AlternateContent>
  <xr:revisionPtr revIDLastSave="0" documentId="13_ncr:1_{F461513A-B0C3-9842-95FC-8AA8EC560E01}" xr6:coauthVersionLast="47" xr6:coauthVersionMax="47" xr10:uidLastSave="{00000000-0000-0000-0000-000000000000}"/>
  <bookViews>
    <workbookView xWindow="6780" yWindow="3020" windowWidth="25760" windowHeight="19640" activeTab="11" xr2:uid="{94F9A39A-6786-5746-B909-08F1BDED5E7F}"/>
  </bookViews>
  <sheets>
    <sheet name="Detail5" sheetId="41" r:id="rId1"/>
    <sheet name="Detail6" sheetId="42" r:id="rId2"/>
    <sheet name="Detail7" sheetId="43" r:id="rId3"/>
    <sheet name="Detail8" sheetId="44" r:id="rId4"/>
    <sheet name="Detail1" sheetId="45" r:id="rId5"/>
    <sheet name="Detail2" sheetId="46" r:id="rId6"/>
    <sheet name="Detail3" sheetId="47" r:id="rId7"/>
    <sheet name="Detail4" sheetId="48" r:id="rId8"/>
    <sheet name="Detail9" sheetId="49" r:id="rId9"/>
    <sheet name="Detail10" sheetId="50" r:id="rId10"/>
    <sheet name="Detail11" sheetId="51" r:id="rId11"/>
    <sheet name="Sheet1" sheetId="2" r:id="rId12"/>
    <sheet name="item-sales-summary-2025-06-02-2" sheetId="1" r:id="rId13"/>
  </sheets>
  <definedNames>
    <definedName name="_xlnm._FilterDatabase" localSheetId="12" hidden="1">'item-sales-summary-2025-06-02-2'!$A$1:$M$1330</definedName>
    <definedName name="_xlnm.Print_Area" localSheetId="11">Sheet1!$A$1:$I$73</definedName>
  </definedNames>
  <calcPr calcId="191029"/>
  <pivotCaches>
    <pivotCache cacheId="85" r:id="rId14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66" i="2" l="1"/>
  <c r="I6" i="2"/>
  <c r="I5" i="2"/>
  <c r="I12" i="2" l="1"/>
  <c r="G80" i="2"/>
  <c r="G84" i="2"/>
  <c r="I82" i="2"/>
  <c r="G82" i="2"/>
  <c r="C73" i="2"/>
  <c r="C72" i="2"/>
  <c r="C61" i="2" l="1"/>
  <c r="D62" i="2" l="1"/>
  <c r="C71" i="2"/>
  <c r="D63" i="2"/>
</calcChain>
</file>

<file path=xl/sharedStrings.xml><?xml version="1.0" encoding="utf-8"?>
<sst xmlns="http://schemas.openxmlformats.org/spreadsheetml/2006/main" count="5113" uniqueCount="1365">
  <si>
    <t>Item Name</t>
  </si>
  <si>
    <t>Item Variation</t>
  </si>
  <si>
    <t>SKU</t>
  </si>
  <si>
    <t>Category</t>
  </si>
  <si>
    <t>Items Sold</t>
  </si>
  <si>
    <t>Product Sales</t>
  </si>
  <si>
    <t>Items Refunded</t>
  </si>
  <si>
    <t>Refunds</t>
  </si>
  <si>
    <t>Discounts &amp; Comps</t>
  </si>
  <si>
    <t>Net Sales</t>
  </si>
  <si>
    <t>Tax</t>
  </si>
  <si>
    <t>Gross Sales</t>
  </si>
  <si>
    <t>Units Sold</t>
  </si>
  <si>
    <t>Uncategorised</t>
  </si>
  <si>
    <t>Regular</t>
  </si>
  <si>
    <t>Open item</t>
  </si>
  <si>
    <t>Baby &amp; Kids</t>
  </si>
  <si>
    <t>HARVESTERS Free-Range Chicken &amp; Zucchini 120g</t>
  </si>
  <si>
    <t>Bread &amp; Bakery</t>
  </si>
  <si>
    <t>CSCARN Crumpets 6pck</t>
  </si>
  <si>
    <t>LATORTI Corn Tortillas x 15 330g</t>
  </si>
  <si>
    <t>NATURIS Bread 100% Rye 680g</t>
  </si>
  <si>
    <t>NATURIS Bread Buckwheat GF 680g</t>
  </si>
  <si>
    <t>NATURIS Bread Fruit and Nut GF 680g</t>
  </si>
  <si>
    <t>NATURIS Bread Organic Spelt 680g</t>
  </si>
  <si>
    <t>NATURIS Bread Rice Loaf GF 680g</t>
  </si>
  <si>
    <t>NATURIS Grain Free GF Bread 680g</t>
  </si>
  <si>
    <t>NATURIS LF GF Teff Bread 680g</t>
  </si>
  <si>
    <t>NONIES GF Activated Charcoal and Quinoa Bread 550g</t>
  </si>
  <si>
    <t>NONIES GF Pita Bread 420g</t>
  </si>
  <si>
    <t>NONIES GF Seedy Brown Bread 1.1Kg</t>
  </si>
  <si>
    <t>Breakfast Cereals</t>
  </si>
  <si>
    <t>BOBSREDM ORG Rolled Oats 907g</t>
  </si>
  <si>
    <t>Broths &amp; Stocks</t>
  </si>
  <si>
    <t>Cacao, Carob &amp; More</t>
  </si>
  <si>
    <t>Coffee</t>
  </si>
  <si>
    <t>Cafe Drinks</t>
  </si>
  <si>
    <t>Cappuccino</t>
  </si>
  <si>
    <t>881153D</t>
  </si>
  <si>
    <t>Flat White</t>
  </si>
  <si>
    <t>Hot Chocolate</t>
  </si>
  <si>
    <t>D208197</t>
  </si>
  <si>
    <t>Latte</t>
  </si>
  <si>
    <t>R657612</t>
  </si>
  <si>
    <t>Long Black</t>
  </si>
  <si>
    <t>J140683</t>
  </si>
  <si>
    <t>Mocha</t>
  </si>
  <si>
    <t>Piccolo</t>
  </si>
  <si>
    <t>J674641</t>
  </si>
  <si>
    <t>Iced</t>
  </si>
  <si>
    <t>Iced Latte</t>
  </si>
  <si>
    <t>159815F</t>
  </si>
  <si>
    <t>Iced Matcha</t>
  </si>
  <si>
    <t>C021316</t>
  </si>
  <si>
    <t>Other Hot Drinks</t>
  </si>
  <si>
    <t>A458335</t>
  </si>
  <si>
    <t>Matcha</t>
  </si>
  <si>
    <t>Q388637</t>
  </si>
  <si>
    <t>Prana Sticky Chai</t>
  </si>
  <si>
    <t>Turmeric Latte</t>
  </si>
  <si>
    <t>444601J</t>
  </si>
  <si>
    <t>Ceremonial Cacao</t>
  </si>
  <si>
    <t>Iced Berry Matcha</t>
  </si>
  <si>
    <t>Tea</t>
  </si>
  <si>
    <t>English Breakfast</t>
  </si>
  <si>
    <t>Candy &amp; Sweets</t>
  </si>
  <si>
    <t>FUNDAY Lollipops 8g</t>
  </si>
  <si>
    <t>FUNDAY Share Bag Lollipops 88g</t>
  </si>
  <si>
    <t>FUNDAY Sour Gummy Cola Bottles 50g</t>
  </si>
  <si>
    <t>FUNDAY Vegan Sour Gummy Bears 50g</t>
  </si>
  <si>
    <t>YUMEART Gummy Bears 19.8g</t>
  </si>
  <si>
    <t>Chips &amp; Crisps</t>
  </si>
  <si>
    <t>BOULDER Potato Chips with Avo Oil 149g</t>
  </si>
  <si>
    <t>DONACH Avo Oil White Corn Totopos 170g</t>
  </si>
  <si>
    <t>Chocolate &amp; Coated Treats</t>
  </si>
  <si>
    <t>ALTEREC Choc Bar Total Blackout 75g</t>
  </si>
  <si>
    <t>BANJO Bears Coconut 15g</t>
  </si>
  <si>
    <t>BANJO Bears Mint 15g</t>
  </si>
  <si>
    <t>LOLO Butter Caramel Pecan 30g</t>
  </si>
  <si>
    <t>LOLO Classic Chewy Caramel 30g</t>
  </si>
  <si>
    <t>LOLO Coconut Cashew Choc 30g</t>
  </si>
  <si>
    <t>LOLO Hazelnut Praline 30g</t>
  </si>
  <si>
    <t>LOLO Peanut Butter Caramel 30g</t>
  </si>
  <si>
    <t>LOLO Twin Pack Almond Caramel Crunch</t>
  </si>
  <si>
    <t>LOLO Twin Pack Black Cherry &amp; Raspberry</t>
  </si>
  <si>
    <t>LOLO Twin Pack Butter Caramel Pecan</t>
  </si>
  <si>
    <t>LOLO Twin Pack Coconut Cashew</t>
  </si>
  <si>
    <t>LOLO Twin Pack Hazelnut Praline</t>
  </si>
  <si>
    <t>LOLO Twin Pack Wild Rose Ganache</t>
  </si>
  <si>
    <t>ORTIMES Dark Chocolate Almonds 150g</t>
  </si>
  <si>
    <t>Coffee, Creamers &amp; Alternative</t>
  </si>
  <si>
    <t>Condiments &amp; Dipping Sauces</t>
  </si>
  <si>
    <t>UFC Mayo 280g</t>
  </si>
  <si>
    <t>Cookies &amp; Biscuits</t>
  </si>
  <si>
    <t>Crispbreads &amp; Crackers</t>
  </si>
  <si>
    <t>Dairy</t>
  </si>
  <si>
    <t>MUNGALL Ricotta 325g</t>
  </si>
  <si>
    <t>Dips &amp; Deli</t>
  </si>
  <si>
    <t>Dried Fruit, Seeds &amp; Nuts</t>
  </si>
  <si>
    <t>ORG Dates Medjoul 250g</t>
  </si>
  <si>
    <t>Drinking Chocolate &amp; Ceremonial Cacao</t>
  </si>
  <si>
    <t>Drinks</t>
  </si>
  <si>
    <t>BONSOY Sparkling Coconut Water Passionfruit 320ml</t>
  </si>
  <si>
    <t>COCOBELLA Coconut Water 1L</t>
  </si>
  <si>
    <t>COCOBELLA Coconut Water Straight Up 250ml</t>
  </si>
  <si>
    <t>DAYSE Non-Alcoholic Ginger Spritz 330ml</t>
  </si>
  <si>
    <t>HOPR Citra &amp; Amarillo Hops One 375ml</t>
  </si>
  <si>
    <t>HOPR Citra Hop Water 375ml</t>
  </si>
  <si>
    <t>HOPR Mango Hop Water 375ml</t>
  </si>
  <si>
    <t>HOPR The Lemon Lime One 375ml</t>
  </si>
  <si>
    <t>HOPR The Passionfruit One 375ml</t>
  </si>
  <si>
    <t>HOPR The Sabro One 375ml</t>
  </si>
  <si>
    <t>LUNAE Sparkling Cactus Water 330ml</t>
  </si>
  <si>
    <t>LUNAE Sparkling Water Aloe 330ml</t>
  </si>
  <si>
    <t>TIPCO Coconut Water 1L</t>
  </si>
  <si>
    <t>Eggs</t>
  </si>
  <si>
    <t>Energy &amp; Protein Bars</t>
  </si>
  <si>
    <t>CHIEF Cashew Shortbread Collagen Protein Bar 45g</t>
  </si>
  <si>
    <t>CHIEF Double Choc Coated Collagen Bar 45g</t>
  </si>
  <si>
    <t>SEEDW Hemp Energy Bar 90g</t>
  </si>
  <si>
    <t>TRUE Choc Mint Protein Bar 63g</t>
  </si>
  <si>
    <t>TRUE Chocolate Protein Bar 63g</t>
  </si>
  <si>
    <t>TRUE Cookies &amp; Cream Protein Bar 63g</t>
  </si>
  <si>
    <t>TRUE Salted Caramel Protein Bar 63g</t>
  </si>
  <si>
    <t>TRUE Toasted Coconut Protein Bar 63g</t>
  </si>
  <si>
    <t>Fermented Goods</t>
  </si>
  <si>
    <t>Flour &amp; Baking</t>
  </si>
  <si>
    <t>Fresh Herbs</t>
  </si>
  <si>
    <t>Frozen Fruit &amp; Vegetables</t>
  </si>
  <si>
    <t>HARVESTT Wild Blueberries 1Kg</t>
  </si>
  <si>
    <t>SERIOUSO ORG Blueberries 400g</t>
  </si>
  <si>
    <t>Frozen Ready Meals</t>
  </si>
  <si>
    <t>Fruit</t>
  </si>
  <si>
    <t>Apple Granny Smith</t>
  </si>
  <si>
    <t>Apple Pink Lady</t>
  </si>
  <si>
    <t>W610869</t>
  </si>
  <si>
    <t>Avocado Hass</t>
  </si>
  <si>
    <t>421477Z</t>
  </si>
  <si>
    <t>Banana Cavendish</t>
  </si>
  <si>
    <t>Lemons</t>
  </si>
  <si>
    <t>451273G</t>
  </si>
  <si>
    <t>Orange</t>
  </si>
  <si>
    <t>212072G</t>
  </si>
  <si>
    <t>Pear Packham</t>
  </si>
  <si>
    <t>L831968</t>
  </si>
  <si>
    <t>Grains, Pulses &amp; Legumes</t>
  </si>
  <si>
    <t>Herbs, Spices &amp; Seasoning</t>
  </si>
  <si>
    <t>Hot Sauces &amp; Salsas</t>
  </si>
  <si>
    <t>Household &amp; Cleaning</t>
  </si>
  <si>
    <t>Ice Cream &amp; Desserts</t>
  </si>
  <si>
    <t>FROZENS Strawberry Ice block 80ml</t>
  </si>
  <si>
    <t>FROZENS Watermelon Ice block 80ml</t>
  </si>
  <si>
    <t>International</t>
  </si>
  <si>
    <t>Matcha &amp; Latte Blends</t>
  </si>
  <si>
    <t>Meat &amp; Poultry</t>
  </si>
  <si>
    <t>NONNAS Beef Eye Fillets</t>
  </si>
  <si>
    <t>NONNAS FR Chicken Breast</t>
  </si>
  <si>
    <t>NONNAS FR Chicken Thigh</t>
  </si>
  <si>
    <t>NONNAS Lean Organic Beef Mince</t>
  </si>
  <si>
    <t>Oils, Vinegars &amp; Dressings</t>
  </si>
  <si>
    <t>Paper Shopping Bags</t>
  </si>
  <si>
    <t>Pasta &amp; Cooking Sauces</t>
  </si>
  <si>
    <t>Pasta &amp; Noodles</t>
  </si>
  <si>
    <t>Personal Care</t>
  </si>
  <si>
    <t>Pickles, Olives &amp; More</t>
  </si>
  <si>
    <t>Salad Mix</t>
  </si>
  <si>
    <t>COOLIBAH Baby Spinach 120g</t>
  </si>
  <si>
    <t>COOLIBAH Wild Roquette 120g</t>
  </si>
  <si>
    <t>Seafood</t>
  </si>
  <si>
    <t>EUROS Salmon Portion 200g</t>
  </si>
  <si>
    <t>Simmer Sauces &amp; Meal Bases</t>
  </si>
  <si>
    <t>Breakfast Smoothie</t>
  </si>
  <si>
    <t>Y625691</t>
  </si>
  <si>
    <t>Smoothie Bar</t>
  </si>
  <si>
    <t>Go Nuts</t>
  </si>
  <si>
    <t>T023944</t>
  </si>
  <si>
    <t>Green Machine</t>
  </si>
  <si>
    <t>K528789</t>
  </si>
  <si>
    <t>PB &amp; J</t>
  </si>
  <si>
    <t>D167883</t>
  </si>
  <si>
    <t>Pump it Protein</t>
  </si>
  <si>
    <t>X103582</t>
  </si>
  <si>
    <t>Tropical Bliss</t>
  </si>
  <si>
    <t>F633679</t>
  </si>
  <si>
    <t>Green Soup</t>
  </si>
  <si>
    <t>Soups</t>
  </si>
  <si>
    <t>Soy Sauces &amp; Alternatives</t>
  </si>
  <si>
    <t>Spreads &amp; Sweeteners</t>
  </si>
  <si>
    <t>Superfoods &amp; Supplements</t>
  </si>
  <si>
    <t>Baked Goods</t>
  </si>
  <si>
    <t>Good Cookie</t>
  </si>
  <si>
    <t>699598R</t>
  </si>
  <si>
    <t>Sweet Treats</t>
  </si>
  <si>
    <t>Loaded Pistachio Cookie</t>
  </si>
  <si>
    <t>Mini Banana Bread</t>
  </si>
  <si>
    <t>Orange Muffin</t>
  </si>
  <si>
    <t>Z265760</t>
  </si>
  <si>
    <t>Savoury Muffin</t>
  </si>
  <si>
    <t>Chilled Treats</t>
  </si>
  <si>
    <t>Brookie</t>
  </si>
  <si>
    <t>Z958215</t>
  </si>
  <si>
    <t>Caramel Date</t>
  </si>
  <si>
    <t>G358412</t>
  </si>
  <si>
    <t>Choc Puffed Rice</t>
  </si>
  <si>
    <t>Macadamia Choc Brownie</t>
  </si>
  <si>
    <t>N101272</t>
  </si>
  <si>
    <t>Peanut Butter Hemp &amp; Chia Cup</t>
  </si>
  <si>
    <t>596421C</t>
  </si>
  <si>
    <t>Pistachio Stuffed Date</t>
  </si>
  <si>
    <t>584353C</t>
  </si>
  <si>
    <t>Pistachio Tart</t>
  </si>
  <si>
    <t>768166L</t>
  </si>
  <si>
    <t>Superfood Bar</t>
  </si>
  <si>
    <t>358090J</t>
  </si>
  <si>
    <t>Vanilla Cranberry Bliss Ball</t>
  </si>
  <si>
    <t>359417Z</t>
  </si>
  <si>
    <t>Sweet Nectar</t>
  </si>
  <si>
    <t>Bounty</t>
  </si>
  <si>
    <t>767065P</t>
  </si>
  <si>
    <t>Chocolate Mud Cake</t>
  </si>
  <si>
    <t>G862053</t>
  </si>
  <si>
    <t>Ferrero Rawcher</t>
  </si>
  <si>
    <t>Hazelnut Bueno</t>
  </si>
  <si>
    <t>583622Q</t>
  </si>
  <si>
    <t>PB Brownie</t>
  </si>
  <si>
    <t>893478E</t>
  </si>
  <si>
    <t>Passionfruit Cheesecake</t>
  </si>
  <si>
    <t>633001E</t>
  </si>
  <si>
    <t>To-Go Bites</t>
  </si>
  <si>
    <t>Vegan</t>
  </si>
  <si>
    <t>BONSOY Soy Milk 1L</t>
  </si>
  <si>
    <t>MADAME Barista Tigernut Milk 1L</t>
  </si>
  <si>
    <t>MANDOLEO Barista Almond Milk 1L</t>
  </si>
  <si>
    <t>OMG Oat Milk Long Life 1L</t>
  </si>
  <si>
    <t>PUREHAR Coco Quench Coconut Milk 1L</t>
  </si>
  <si>
    <t>PUREHAR Unsweetened Almond Milk 1L</t>
  </si>
  <si>
    <t>Baby Broccoli</t>
  </si>
  <si>
    <t>K085953</t>
  </si>
  <si>
    <t>Vegetables</t>
  </si>
  <si>
    <t>Beetroot</t>
  </si>
  <si>
    <t>Broccoli</t>
  </si>
  <si>
    <t>D705013</t>
  </si>
  <si>
    <t>Cabbage Red</t>
  </si>
  <si>
    <t>Carrot Loose ü•ï</t>
  </si>
  <si>
    <t>Cucumber Lebanese</t>
  </si>
  <si>
    <t>Garlic</t>
  </si>
  <si>
    <t>496131N</t>
  </si>
  <si>
    <t>Ginger</t>
  </si>
  <si>
    <t>Kale Black Bunch</t>
  </si>
  <si>
    <t>Onion Brown</t>
  </si>
  <si>
    <t>Onion Spanish Red</t>
  </si>
  <si>
    <t>Potato</t>
  </si>
  <si>
    <t>J158788</t>
  </si>
  <si>
    <t>Pumpkin Jap Kent</t>
  </si>
  <si>
    <t>Sweet Potato Gold</t>
  </si>
  <si>
    <t>Turmeric</t>
  </si>
  <si>
    <t>Zucchini</t>
  </si>
  <si>
    <t>Bowl - Chicken Buddha</t>
  </si>
  <si>
    <t>V111576</t>
  </si>
  <si>
    <t>Wraps &amp; Salads</t>
  </si>
  <si>
    <t>Bowl - Salmon Salad</t>
  </si>
  <si>
    <t>L327880</t>
  </si>
  <si>
    <t>Breakfast - Breakfast Wrap</t>
  </si>
  <si>
    <t>Breakfast - Veggie Breakfast Wrap</t>
  </si>
  <si>
    <t>R504605</t>
  </si>
  <si>
    <t>Burrito - Chicken</t>
  </si>
  <si>
    <t>Burrito - Veggie</t>
  </si>
  <si>
    <t>254695M</t>
  </si>
  <si>
    <t>Wrap - Falafel</t>
  </si>
  <si>
    <t>F446835</t>
  </si>
  <si>
    <t>Wrap - GG Chicken</t>
  </si>
  <si>
    <t>Row Labels</t>
  </si>
  <si>
    <t>Grand Total</t>
  </si>
  <si>
    <t>Sum of Items Sold</t>
  </si>
  <si>
    <t>Sum of Net Sales</t>
  </si>
  <si>
    <t>Total</t>
  </si>
  <si>
    <t>Bar</t>
  </si>
  <si>
    <t>Retail</t>
  </si>
  <si>
    <t>Prior week</t>
  </si>
  <si>
    <t>Per day</t>
  </si>
  <si>
    <t>NATURIS Bread Corn GF 680g</t>
  </si>
  <si>
    <t>NONIES GF Light Golden Bread 550g</t>
  </si>
  <si>
    <t>FUNDAY Raspberry Gummy Frogs 50g</t>
  </si>
  <si>
    <t>TGUMMIES Passionfruit Mango 120g</t>
  </si>
  <si>
    <t>GAMZE Streaky Bacon 150g</t>
  </si>
  <si>
    <t>UTHRIVE Passionfruit Hydration Drink 330ml</t>
  </si>
  <si>
    <t>CHIEF Choc Coated Salted Caramel Collagen Bar 45g</t>
  </si>
  <si>
    <t>CRAYV Choc Peanut Butter Protein Bar 45g</t>
  </si>
  <si>
    <t>FTN Bliss Bar Choc Chip Cookie 40g</t>
  </si>
  <si>
    <t>SEEDW Hemp &amp; Peanut Salted Caramel Bar 90g</t>
  </si>
  <si>
    <t>Pet</t>
  </si>
  <si>
    <t>Share</t>
  </si>
  <si>
    <t>Vs Week Prior</t>
  </si>
  <si>
    <t>BENNETT Choc Bar Toasted Hazelnut 80g</t>
  </si>
  <si>
    <t>CARBOORH Australian Dry Roasted Pistachios 125g</t>
  </si>
  <si>
    <t>CARBOORH Raw Walnuts 125g</t>
  </si>
  <si>
    <t>BONSOY Sparkling Coconut Water Ginger 320ml</t>
  </si>
  <si>
    <t>BONSOY Sparkling Coconut Water Lychee 320ml</t>
  </si>
  <si>
    <t>SIMJUI Hemp Power Superfood Prebiotic Juice 325ml</t>
  </si>
  <si>
    <t>GOODFIS Salmon in EVO Oil CAN 120g</t>
  </si>
  <si>
    <t>Tomato Gourmet</t>
  </si>
  <si>
    <t>Jenny's Tea</t>
  </si>
  <si>
    <t>A119096</t>
  </si>
  <si>
    <t>BUBS Baby Food Banana Apricot Power Porridge 120g</t>
  </si>
  <si>
    <t>GFPRECINCT GF Buckwheat &amp; Chia Wrap 260g</t>
  </si>
  <si>
    <t>WATERS Yellow Corn Taco Shells 156g</t>
  </si>
  <si>
    <t>Iced Long Black</t>
  </si>
  <si>
    <t>GAMZE Middle Bacon 150g</t>
  </si>
  <si>
    <t>REGAL New Zealand King Salmon Smoked 100g</t>
  </si>
  <si>
    <t>ANTIPOD Still Water 1l</t>
  </si>
  <si>
    <t>BONSOY Sparkling Coconut Water Watermelon 320ml</t>
  </si>
  <si>
    <t>SECRETS Kolesence Sparkling Water 750ml</t>
  </si>
  <si>
    <t>SIMJUI Orange Juice 325ml</t>
  </si>
  <si>
    <t>ELLEFARM ORG Free Range Dozen Eggs 700g</t>
  </si>
  <si>
    <t>CHIEF Traditional Beef Brisket Bar 40g</t>
  </si>
  <si>
    <t>THANKSD Dark Choc &amp; Hazel Bar 40g</t>
  </si>
  <si>
    <t>GAGAS Sauerkraut 420g</t>
  </si>
  <si>
    <t>GAGAS Vegan Kimchi 420g</t>
  </si>
  <si>
    <t>Strawberries</t>
  </si>
  <si>
    <t>V136964</t>
  </si>
  <si>
    <t>SERIOUSO ORG Banana Bites 65g</t>
  </si>
  <si>
    <t>ROOGENIC Inflammation Tea 8tb</t>
  </si>
  <si>
    <t>Bowl - Tofu Buddha</t>
  </si>
  <si>
    <t>N996078</t>
  </si>
  <si>
    <t>NATURIS Bread Light Rye 680g</t>
  </si>
  <si>
    <t>D414315</t>
  </si>
  <si>
    <t>PUR Bubble Chewing Gum 12.6g</t>
  </si>
  <si>
    <t>DONACH Chipotle Corn Totopos 170g</t>
  </si>
  <si>
    <t>SUNSEEK Beef Tallow Potato Chips 140g</t>
  </si>
  <si>
    <t>SUNSEEK EVOO Potato Chips 140g</t>
  </si>
  <si>
    <t>BANJO Carob Sultanas 20g</t>
  </si>
  <si>
    <t>BENNETT Choc Bar Raspberry 80g</t>
  </si>
  <si>
    <t>LOLO Dark Peppermint Creme 30g</t>
  </si>
  <si>
    <t>LOLO Orange &amp; Almond Truffle 30g</t>
  </si>
  <si>
    <t>LOLO Twin Pack Orange &amp; Almond Truffle</t>
  </si>
  <si>
    <t>LIVEW Activated Mixed Nuts 120g</t>
  </si>
  <si>
    <t>MOTHERL Decaf Coffee with Collagen 15sc</t>
  </si>
  <si>
    <t>Sachet</t>
  </si>
  <si>
    <t>MOTHERL Hot Chocolate with Collagen 15sc</t>
  </si>
  <si>
    <t>908925R</t>
  </si>
  <si>
    <t>MOTHERL Matcha with Collagen 15sc</t>
  </si>
  <si>
    <t>533682Z</t>
  </si>
  <si>
    <t>ANTIPOD Still Water 500ml</t>
  </si>
  <si>
    <t>BLUME Lemon Yuzu Ginger Prebiotic Drink 375ml</t>
  </si>
  <si>
    <t>JIVA Defender Tonic 100ml</t>
  </si>
  <si>
    <t>JIVA Reset Tonic 100ml</t>
  </si>
  <si>
    <t>KOMBREW Ginger Turmeric Kombucha 750ml</t>
  </si>
  <si>
    <t>MISCHIEF Cola 250ml</t>
  </si>
  <si>
    <t>MISCHIEF Non-Alcoholic Sparkling Aperitivo 250ml</t>
  </si>
  <si>
    <t>SEEDW Cacao &amp; Coconut Energy Bar 90g</t>
  </si>
  <si>
    <t>BONSOY Apple Cinnamon Kombucha 250ml</t>
  </si>
  <si>
    <t>TTT Pine-Lime and Aloe Vera Kombucha 330ml</t>
  </si>
  <si>
    <t>ELGIN Wild Blueberries 1Kg</t>
  </si>
  <si>
    <t>Kiwi (Loose)</t>
  </si>
  <si>
    <t>P063250</t>
  </si>
  <si>
    <t>Manly Mermaid</t>
  </si>
  <si>
    <t>E119471</t>
  </si>
  <si>
    <t>Coconut Rough BP</t>
  </si>
  <si>
    <t>767837M</t>
  </si>
  <si>
    <t>Marz</t>
  </si>
  <si>
    <t>A206360</t>
  </si>
  <si>
    <t>Snickerz</t>
  </si>
  <si>
    <t>R186569</t>
  </si>
  <si>
    <t>BOTCUIS Macadamia Cheese New Yorker 295g</t>
  </si>
  <si>
    <t>Week Prior</t>
  </si>
  <si>
    <t>HARVESTERS Pumpkin Carrot &amp; Kale 120g</t>
  </si>
  <si>
    <t>ANCHARV Wraps Keto 180g</t>
  </si>
  <si>
    <t>Iced Chocolate</t>
  </si>
  <si>
    <t>CERES No Salt Brown Rice Cakes 110g</t>
  </si>
  <si>
    <t>MURRAYR Free Range Turkey Slices 150g</t>
  </si>
  <si>
    <t>JIVA Tonics Glow 100ml</t>
  </si>
  <si>
    <t>SIMJUI Cleanse Superfood Prebiotic Juice 325ml</t>
  </si>
  <si>
    <t>SIMPLEO Ginger Beer 330ml</t>
  </si>
  <si>
    <t>UTHRIVE Blood Orange Hydration Drink 330ml</t>
  </si>
  <si>
    <t>BLUEDIN Protein Bar Cookie Dough 60g</t>
  </si>
  <si>
    <t>CHIEF Beef &amp; Chilli Brisket Bar 40g</t>
  </si>
  <si>
    <t>THANKSD Caramel Pecan Bar 40g</t>
  </si>
  <si>
    <t>BONSOY Blueberry Strawberry Kombucha 250ml</t>
  </si>
  <si>
    <t>BONSOY Cranberry Pomegranate Kombucha 250ml</t>
  </si>
  <si>
    <t>TTT Ginger Turmeric Kombucha 330ml</t>
  </si>
  <si>
    <t>FEELGOOD Choc Banana Ice Cream</t>
  </si>
  <si>
    <t>FROZENS Dark Choc Ice block 80ml</t>
  </si>
  <si>
    <t>OGO GF Quinoa Rice Spaghetti 300g</t>
  </si>
  <si>
    <t>TRUE Plant Base French Vanilla Protein Powder 750g</t>
  </si>
  <si>
    <t>Bone Broth</t>
  </si>
  <si>
    <t>A592312</t>
  </si>
  <si>
    <t>YAVA Chili Lime Cashews 35g</t>
  </si>
  <si>
    <t>FTN Bliss Bar Double Choc 40g</t>
  </si>
  <si>
    <t>BRNBYBB Chicken Bone Broth 500 mL</t>
  </si>
  <si>
    <t>BYS Collagen Coffee Mocha 6.5g</t>
  </si>
  <si>
    <t>MEREDIT Goat Cheese Chevre 150g</t>
  </si>
  <si>
    <t>YAVA Roasted Cashews 35g</t>
  </si>
  <si>
    <t>ALKAP Alkaline Water 1.5L</t>
  </si>
  <si>
    <t>ALKAP Alkaline Water 600ml</t>
  </si>
  <si>
    <t>COCOBELLA Chocolate Coconut Water 1L</t>
  </si>
  <si>
    <t>KOMBREW Raspberry Blossom Kombucha 750ml</t>
  </si>
  <si>
    <t>KOOEE Spicy Beef Stick 25g</t>
  </si>
  <si>
    <t>NOOSABA Lemon Myrtle Deodorant Roll on 50ml</t>
  </si>
  <si>
    <t>COLLINS Alaskan Wild Caught Salmon</t>
  </si>
  <si>
    <t>MACAM Macadamia Milk 1L</t>
  </si>
  <si>
    <t>H870524</t>
  </si>
  <si>
    <t>Breakfast - Berry Matcha Chia Cup</t>
  </si>
  <si>
    <t>D874920</t>
  </si>
  <si>
    <t>Breakfast - Cacao, Peanut Butter &amp; Banana Chia Cup</t>
  </si>
  <si>
    <t>771819R</t>
  </si>
  <si>
    <t>Watermelon</t>
  </si>
  <si>
    <t>HARVESTERS Chickpeas Flax &amp; Pumpkin 120g</t>
  </si>
  <si>
    <t>MESTEM Pumpernickel Bread 250g</t>
  </si>
  <si>
    <t>FARMERJO GF Paleo Granola 300g</t>
  </si>
  <si>
    <t>J983803</t>
  </si>
  <si>
    <t>Iced Sticky Prana Chai</t>
  </si>
  <si>
    <t>674353H</t>
  </si>
  <si>
    <t>Juice Detox Large</t>
  </si>
  <si>
    <t>Juice Immunity Large</t>
  </si>
  <si>
    <t>LATORTI Tortilla Blue Chips (Totopos) 200g</t>
  </si>
  <si>
    <t>LATORTI Tortilla Chips (Totopos) 200g</t>
  </si>
  <si>
    <t>BYS Collagen Coffee Original 6.5g</t>
  </si>
  <si>
    <t>PUREHAR Rice Cakes Original 150g</t>
  </si>
  <si>
    <t>YAVA Sweet &amp; Spicy Cashews 35g</t>
  </si>
  <si>
    <t>KARMA Orange &amp; Apple Juice 300ml</t>
  </si>
  <si>
    <t>CHEEKI Biltong Garlic 70g</t>
  </si>
  <si>
    <t>FTN Bliss Bar Luscious Lemon 40g</t>
  </si>
  <si>
    <t>MAXD Wellness Square Double Choc Crunch 40g</t>
  </si>
  <si>
    <t>SEEDW Hemp Cranberry White Choc Bar 90g</t>
  </si>
  <si>
    <t>SPB Latte Protein Bar 60g</t>
  </si>
  <si>
    <t>OKBOOCHA Finger Lime Strawberry Kombucha 375ml</t>
  </si>
  <si>
    <t>AMAZON Acai Pure Pack (4 x 100g)</t>
  </si>
  <si>
    <t>ELGIN ORG Pomegranate 350g</t>
  </si>
  <si>
    <t>GOURMET Ground Cinnamon 30g</t>
  </si>
  <si>
    <t>SERIOUSO ORG Pineapple Bites 65g</t>
  </si>
  <si>
    <t>MATCHAM Matcha Powder 70g</t>
  </si>
  <si>
    <t>NONNAS ORG Scotch Fillet Steak</t>
  </si>
  <si>
    <t>J593789</t>
  </si>
  <si>
    <t>COOLIBAH Super Food Mix 120g</t>
  </si>
  <si>
    <t>Straight Up</t>
  </si>
  <si>
    <t>689951D</t>
  </si>
  <si>
    <t>Beerose Honey 500g</t>
  </si>
  <si>
    <t>Notella Bar</t>
  </si>
  <si>
    <t>Peanut Butter Cup</t>
  </si>
  <si>
    <t>549009A</t>
  </si>
  <si>
    <t>HSS Roasted Seaweed Snacks Sea Salt Multipack (6x5g) 30g</t>
  </si>
  <si>
    <t>COYO Coconut Yoghurt Natural 900g</t>
  </si>
  <si>
    <t>COYO Coconut Yoghurt Vanilla Bean 900g</t>
  </si>
  <si>
    <t>Tomato Cherry 200g</t>
  </si>
  <si>
    <t>ANCHARV Paleo Flaxseed Wraps 200g</t>
  </si>
  <si>
    <t>BIONA Pumpernickel Bread 500g</t>
  </si>
  <si>
    <t>MESSY Zucchini &amp; Fennel 720g</t>
  </si>
  <si>
    <t>NONIES GF Charcoal Bread 1.1Kg</t>
  </si>
  <si>
    <t>BESTBON Bone Broth Concentrate Miso 390g</t>
  </si>
  <si>
    <t>CHERRYT Chicken Bone Broth 500ml</t>
  </si>
  <si>
    <t>Espresso</t>
  </si>
  <si>
    <t>Iced Coconut Matcha Cloud</t>
  </si>
  <si>
    <t>B997048</t>
  </si>
  <si>
    <t>PUREHAR Quinoa &amp; Rice Cakes 150g</t>
  </si>
  <si>
    <t>SCHULZ Milk Full Cream Unhomogenised 1L</t>
  </si>
  <si>
    <t>SCHULZ Milk Full Cream Unhomogenised 2L</t>
  </si>
  <si>
    <t>SCHULZ Organic Quark 365g</t>
  </si>
  <si>
    <t>SYMONS Haloumi 200g</t>
  </si>
  <si>
    <t>HAFLA Hummus 200g</t>
  </si>
  <si>
    <t>HAFLA Hummus 350g</t>
  </si>
  <si>
    <t>THUMBLE Hummus 200g</t>
  </si>
  <si>
    <t>THUMBLE Hummus 370g</t>
  </si>
  <si>
    <t>MELLOW Watermelon Lychee Sparkling Water 330ml</t>
  </si>
  <si>
    <t>SIPCOC Coconut Water 1l</t>
  </si>
  <si>
    <t>SIPCOC Ginger Coconut Water 330ml</t>
  </si>
  <si>
    <t>SIPCOC Lychee Coconut Water 330ml</t>
  </si>
  <si>
    <t>SIPCOC Passionfruit Coconut Water 330ml</t>
  </si>
  <si>
    <t>SIPCOC Pineapple Coconut Water 330ml</t>
  </si>
  <si>
    <t>SIPCOC Watermelon Coconut Water 330ml</t>
  </si>
  <si>
    <t>BUSHD ORG Free Range Dozen Eggs 700g</t>
  </si>
  <si>
    <t>BEVS Peanut Butter Crunch Baked Slice 60g</t>
  </si>
  <si>
    <t>BLUEDIN Paleo Bar Banana Bread 45g</t>
  </si>
  <si>
    <t>CHEEKI Biltong Original 70g</t>
  </si>
  <si>
    <t>FTN Protein Cookie White Choc 60g</t>
  </si>
  <si>
    <t>KOOEE Jerky Beef Sea Salt 30g</t>
  </si>
  <si>
    <t>SPB Mango Cream Protein Bar 60g</t>
  </si>
  <si>
    <t>THANKSD Dark Choc &amp; Hazel Bar Pack 200g</t>
  </si>
  <si>
    <t>TRUE Choc Peanut Protein Bar 63g</t>
  </si>
  <si>
    <t>GAGAS Coconut Kefir 700ml</t>
  </si>
  <si>
    <t>HERBSOL Kombucha Hibiscus Flower 330ml</t>
  </si>
  <si>
    <t>PLV Super Berries Kefir 11 360ml</t>
  </si>
  <si>
    <t>PLV Superkraut Kim Chi 650g</t>
  </si>
  <si>
    <t>ELGIN Sour Cherries 350g</t>
  </si>
  <si>
    <t>SYNDIAN Lentil Bites 250g</t>
  </si>
  <si>
    <t>FLYF Coconut &amp; Milk Ice Blocks 57ml</t>
  </si>
  <si>
    <t>FLYF Strawberry &amp; Cream Ice Blocks 57ml</t>
  </si>
  <si>
    <t>FROZENS Mango Swirl Ice block 80ml</t>
  </si>
  <si>
    <t>FROZENS Salted Caramel Ice block 80ml</t>
  </si>
  <si>
    <t>BAG - Shopping</t>
  </si>
  <si>
    <t>COLLINS Wild Caught Barramundi</t>
  </si>
  <si>
    <t>MINGLE Green Curry Base 30g</t>
  </si>
  <si>
    <t>MINGLE Japanese Curry Base 30g</t>
  </si>
  <si>
    <t>TSM Spanish Rice Cooked in Bone Broth 250g</t>
  </si>
  <si>
    <t>MANDOLEO Unsweetened Almond Milk 1L</t>
  </si>
  <si>
    <t>Snow Peas 200g</t>
  </si>
  <si>
    <t>410638H</t>
  </si>
  <si>
    <t>BUBS Baby Food Mango Peach Banana 120g</t>
  </si>
  <si>
    <t>BUBS Baby Food Strawberry Pear Quinoa 120g</t>
  </si>
  <si>
    <t>HARVESTERS Grass-Fed Beef &amp; Peas 120g</t>
  </si>
  <si>
    <t>BIONA Rye Bread Sprouted Seeds 500g</t>
  </si>
  <si>
    <t>BIONA Rye¬†Bread¬†Amaranth¬†Quinoa¬†500g</t>
  </si>
  <si>
    <t>FARRO Spelt Pizza Base 10in</t>
  </si>
  <si>
    <t>MESTEM High Protein Low Carb Bread 250g</t>
  </si>
  <si>
    <t>SPIRAL Organic Brown Rice Paper 200g</t>
  </si>
  <si>
    <t>NATPATH Corn Puffs Envirokidz Gorilla Munch 284g</t>
  </si>
  <si>
    <t>Iced Mocha</t>
  </si>
  <si>
    <t>892152J</t>
  </si>
  <si>
    <t>PUR Peppermint Mints 30g</t>
  </si>
  <si>
    <t>VALLI Raspberry Hearts 50g</t>
  </si>
  <si>
    <t>SERIOUSF Popcorn Real Butter 70g</t>
  </si>
  <si>
    <t>SERIOUSF Popcorn Sea Salt 12g</t>
  </si>
  <si>
    <t>LOLO 5 Hazelnut Butter Praline</t>
  </si>
  <si>
    <t>LOLO 5 Pack Butter Caramel Pecan</t>
  </si>
  <si>
    <t>LOLO 5 Pack Classic Chewy Caramel</t>
  </si>
  <si>
    <t>LOLO 5 Pack Peanut Butter Caramel</t>
  </si>
  <si>
    <t>LOLO Twin Pack Dark Peppermint Creme</t>
  </si>
  <si>
    <t>ORTIMES Milk Chocolate Almonds 150g</t>
  </si>
  <si>
    <t>FINEFET Chive Toasties 110g</t>
  </si>
  <si>
    <t>MARYSGC Crackers Original 184g</t>
  </si>
  <si>
    <t>BLUEBAY Goat Kefir 1L</t>
  </si>
  <si>
    <t>MBC Cold Pressed Jersey Milk 1.5L</t>
  </si>
  <si>
    <t>MEREDIT Goat Milk Yoghurt Probiotic 500g</t>
  </si>
  <si>
    <t>MEREDIT Sheep Milk Yoghurt 500g</t>
  </si>
  <si>
    <t>MUNGALL Greek Yoghurt 800g</t>
  </si>
  <si>
    <t>SYMONS Salted Butter 250g</t>
  </si>
  <si>
    <t>HB Mixed Nuts 45g</t>
  </si>
  <si>
    <t>ALOEAUS Aloe Juice Natural 1L</t>
  </si>
  <si>
    <t>BELOKA Water Sparkling 500ml</t>
  </si>
  <si>
    <t>BONSOY Sparkling Coconut Water 320ml</t>
  </si>
  <si>
    <t>BUDERIM Ginger Bioactive Immunity Shot 350ml</t>
  </si>
  <si>
    <t>CHIAS Berry Smoothie Immunity Tonic 350ml</t>
  </si>
  <si>
    <t>DAYSE Non-Alcoholic Grapefruit Spritz 330ml</t>
  </si>
  <si>
    <t>Dearsan Matcha Coconut Water 250ml</t>
  </si>
  <si>
    <t>GOODH Berry Schisandra Kombucha 330ml</t>
  </si>
  <si>
    <t>GOODH Cacao Vanilla Kombucha 330ml</t>
  </si>
  <si>
    <t>GOODH Ginger Turmeric Kombucha 330ml</t>
  </si>
  <si>
    <t>KOMBREW Jasmine Green Tea Kombucha 750ml</t>
  </si>
  <si>
    <t>KOMBREW PassionFruit Elixir Kombucha 750ml</t>
  </si>
  <si>
    <t>G402202</t>
  </si>
  <si>
    <t>MAPLE3 Maple Water 500m;</t>
  </si>
  <si>
    <t>MELLOW Peach &amp; Ginger Sparkling Water 330ml</t>
  </si>
  <si>
    <t>MELLOW Pineapple Lime Sparkling Water 330ml</t>
  </si>
  <si>
    <t>MELLOW Raspberry Lemon Sparkling Water 330ml</t>
  </si>
  <si>
    <t>MISCHIEF Ginger Ale 250ml</t>
  </si>
  <si>
    <t>YUVO Calming Lavender Sparkling Water 250ml</t>
  </si>
  <si>
    <t>YUVO Detox Lemon Sparkling Water 250ml</t>
  </si>
  <si>
    <t>MEGGLES Dozen Eggs 700g</t>
  </si>
  <si>
    <t>BLUEDIN Paleo Bar Lamington 45g</t>
  </si>
  <si>
    <t>CHIEF Choc Coated Peanut Butter Collagen Bar 45g</t>
  </si>
  <si>
    <t>CHIEF Grass Fed Traditional Biltong 30g</t>
  </si>
  <si>
    <t>KOOEE Sea Salt Beef Stick 25g</t>
  </si>
  <si>
    <t>SPB Cookies &amp; Cream Protein Bar 60g</t>
  </si>
  <si>
    <t>SPB Dark Choc Cherry Protein Bar 60g</t>
  </si>
  <si>
    <t>SPB Peanut Butter &amp; Jelly Flavour Protein Bar 60g</t>
  </si>
  <si>
    <t>THANKSD Dark Choc &amp; Berry Bar Pack 200g</t>
  </si>
  <si>
    <t>THANKSD Roasted Almond &amp; Cinnamon Bar Pack 200g</t>
  </si>
  <si>
    <t>GAGAS Dill Pickle Sauerkraut 420g</t>
  </si>
  <si>
    <t>LOVEO ORG Achara Sauerkraut 440g</t>
  </si>
  <si>
    <t>OKBOOCHA Kakadu Plum Kombucha 375ml</t>
  </si>
  <si>
    <t>OKBOOCHA Wild Raspberry and Apple Kombucha 375ml</t>
  </si>
  <si>
    <t>AMAZON Acai Energy (4 x 100g)</t>
  </si>
  <si>
    <t>HARVESTT Diced Avocados 300g</t>
  </si>
  <si>
    <t>SERIOUSO ORG Raspberries 400g</t>
  </si>
  <si>
    <t>GHF Curried Black Eyed Beans 700g</t>
  </si>
  <si>
    <t>GHF Spiced Capsicum Kalla Channa 750g</t>
  </si>
  <si>
    <t>Gifts &amp; Holidays</t>
  </si>
  <si>
    <t>GOURMET Oregano 10g</t>
  </si>
  <si>
    <t>Home Fragrance &amp; Essential Oils</t>
  </si>
  <si>
    <t>KOALA Laundry Wash Lemon Scented Eucalyptus &amp; Rosemary 1L</t>
  </si>
  <si>
    <t>FLYF Orange Mango Ice Blocks 57ml</t>
  </si>
  <si>
    <t>YUMBAR Chocolate Ice Cream Sandwich 110g</t>
  </si>
  <si>
    <t>SPIRAL ORG Miso Shiro 300g</t>
  </si>
  <si>
    <t>CTF Beef Burger Patty 150g</t>
  </si>
  <si>
    <t>NONNAS Chicken Tandoori Kebab 400g</t>
  </si>
  <si>
    <t>OGO GF Amaranth Rice Spaghetti 300g</t>
  </si>
  <si>
    <t>SPIRAL Noodles Soba 100% Buckwheat 250g</t>
  </si>
  <si>
    <t>GRIN 100% Recycled Toothbrush Soft 1u</t>
  </si>
  <si>
    <t>JACKJIL Strawberry Fluoride Free Toothpaste 50g</t>
  </si>
  <si>
    <t>LU Natural Sunscreen SPF 50 100g</t>
  </si>
  <si>
    <t>BUGSY Bully Sticks Dog Treat 100g</t>
  </si>
  <si>
    <t>EASTC Olive Oil Australian Wild Tuna 95g</t>
  </si>
  <si>
    <t>MINGLE Stroganoff Base 30g</t>
  </si>
  <si>
    <t>CDS Crunch Peanut Butter 300g</t>
  </si>
  <si>
    <t>MITCHELLSN Bone Broth Protein Powder Chocolate 30g</t>
  </si>
  <si>
    <t>MITCHELLSN Bone Broth Protein Powder Vanilla 30g</t>
  </si>
  <si>
    <t>MORIFE Blue Spirulina Powder 50g</t>
  </si>
  <si>
    <t>TRUE WPI 90 French Vanilla Protein Powder 1kg</t>
  </si>
  <si>
    <t>TRUE WPI 90 French Vanilla Protein Powder 360g</t>
  </si>
  <si>
    <t>XOTEA Immunity Looseleaf Tea 50g</t>
  </si>
  <si>
    <t>COYO Coconut Sour Cream 200g</t>
  </si>
  <si>
    <t>Cabbage Green</t>
  </si>
  <si>
    <t>LOVEB Beetroot Peeled &amp; Cooked Fresh 240g</t>
  </si>
  <si>
    <t>ISAACS Cacao-Conuts Snack Bar 50g</t>
  </si>
  <si>
    <t>ANCHARV Lo-Carb Wraps 220g (5x44g)</t>
  </si>
  <si>
    <t>DIEGOS Sourdough Wraps 320g</t>
  </si>
  <si>
    <t>FARRO Spelt Vegan Margherita Pizza 10in</t>
  </si>
  <si>
    <t>GFPRECINCT Sprouted Loaf 650g</t>
  </si>
  <si>
    <t>MESSY Fruit &amp; Nut 780g</t>
  </si>
  <si>
    <t>NATURIS  Organic Kamut Bread Loaf 680g</t>
  </si>
  <si>
    <t>NATURIS Bread Wholemeal Spelt Low FM 360g</t>
  </si>
  <si>
    <t>NUCO Coconut Wraps 70g 5 Pack</t>
  </si>
  <si>
    <t>PURELIF Sprouted Bread Essene Ezekiel 4:9 1.1kg</t>
  </si>
  <si>
    <t>BRNBYBB Beef Bone Broth 500 mL</t>
  </si>
  <si>
    <t>UNFCO Chicken Broth 500ml</t>
  </si>
  <si>
    <t>MINDFF Cacao Powder 200g</t>
  </si>
  <si>
    <t>Bulletproof Coffee</t>
  </si>
  <si>
    <t>Doppio</t>
  </si>
  <si>
    <t>926926N</t>
  </si>
  <si>
    <t>Iced VEGAN Coconut Matcha Cloud</t>
  </si>
  <si>
    <t>830079T</t>
  </si>
  <si>
    <t>GLEE Gum Sugar Free Watermelon 16u</t>
  </si>
  <si>
    <t>PUR Pomegranate Mint Chewing Gum 77g</t>
  </si>
  <si>
    <t>TRUEG Peach Mints 13g</t>
  </si>
  <si>
    <t>TRUEG White Peppermint Chewing Gum 16u</t>
  </si>
  <si>
    <t>Chilled Ready Meals</t>
  </si>
  <si>
    <t>BITEME Zucchini Fritters 270g</t>
  </si>
  <si>
    <t>PROPERC Tortilla Chips Chilli &amp; Lime 150g</t>
  </si>
  <si>
    <t>SERIOUSF Popcorn Sweet &amp; Salty 12g</t>
  </si>
  <si>
    <t>CAROKIT Banjo Bear Milk 8 Pack 120g</t>
  </si>
  <si>
    <t>ORTIMES Dark Chocolate Ginger 150g</t>
  </si>
  <si>
    <t>BARLEYC Instant Barley Beverage 100g</t>
  </si>
  <si>
    <t>BBCC Whole Bean Coffee 250g</t>
  </si>
  <si>
    <t>KEA GF Lemon Coconut Cookies 250g</t>
  </si>
  <si>
    <t>OATZILLA Gingerbread 30g</t>
  </si>
  <si>
    <t>CERES Brown Rice Cakes Original 110g</t>
  </si>
  <si>
    <t>CERES Crispy Rice Sea Salt Crackers 100g</t>
  </si>
  <si>
    <t>CERES Rice Bites Original 100g</t>
  </si>
  <si>
    <t>PATS Sweet Potato Crackers 100g</t>
  </si>
  <si>
    <t>BARAMBA Cheddar Shredded 250g</t>
  </si>
  <si>
    <t>BARAMBA Cheddar Sliced 210g</t>
  </si>
  <si>
    <t>LBD Full Cream Milk 2L</t>
  </si>
  <si>
    <t>LBD Less Cream Milk 2L</t>
  </si>
  <si>
    <t>MAYERS Parmigiano Reggiano 150g</t>
  </si>
  <si>
    <t>MUNGALL Greek Yoghurt  375g</t>
  </si>
  <si>
    <t>MUNGALL High Protein Yoghurt 1kg</t>
  </si>
  <si>
    <t>ORTIMES Salted Butter 250g</t>
  </si>
  <si>
    <t>THUMBLE Vegan Pesto 200g</t>
  </si>
  <si>
    <t>HANDHOE Macadamias Dry Roasted Salted 200g</t>
  </si>
  <si>
    <t>HTG ABC Raw Nut Mix 200g</t>
  </si>
  <si>
    <t>HTG Coconut Milk 400ml</t>
  </si>
  <si>
    <t>HTG Pepitas 200g</t>
  </si>
  <si>
    <t>MINDFF Activated Brazil Nuts 325g</t>
  </si>
  <si>
    <t>MINDFF Activated Mixed Nuts 110g</t>
  </si>
  <si>
    <t>SPIRAL Coconut Milk 400ml</t>
  </si>
  <si>
    <t>YAVA Sea Salt Cashews 35g</t>
  </si>
  <si>
    <t>ATHEALTH Before Bedtime Dreamy Hot Choc Powder 250g</t>
  </si>
  <si>
    <t>CCACAO 100% Ceremonial Cacao Pieces 50g</t>
  </si>
  <si>
    <t>Box</t>
  </si>
  <si>
    <t>*SUNNYC Still Water 375ml</t>
  </si>
  <si>
    <t>ALOEAUS ALO Aloe Juice +20 Herbs 1L</t>
  </si>
  <si>
    <t>ALOEAUS ALO Aloe Juice Digestion 1L</t>
  </si>
  <si>
    <t>ANTIPOD Sparkling Water 500ml</t>
  </si>
  <si>
    <t>KAKADU Conscious Drink 750ml</t>
  </si>
  <si>
    <t>KARMA Gingerella Ginger Ale 300ml</t>
  </si>
  <si>
    <t>MATEO Yerba Mate &amp; Hibiscus Soda 330ml</t>
  </si>
  <si>
    <t>MATEO Yerba Mate Soda 330ml</t>
  </si>
  <si>
    <t>OH Lemonaid Lemon Ginger Twist</t>
  </si>
  <si>
    <t>OH Lemonaid Lemon Strawberry Splash</t>
  </si>
  <si>
    <t>OH Lemonaid Natural Sparkling Lemon</t>
  </si>
  <si>
    <t>OKBOOCHA Zero Sugar Watermelon Sparkling Water 375ml</t>
  </si>
  <si>
    <t>SECRETS Aquapheir Sparkling Water 750ml</t>
  </si>
  <si>
    <t>SIMPLEO Vintage Cola 330ml</t>
  </si>
  <si>
    <t>FBROWNS Eggs Dozen 700g</t>
  </si>
  <si>
    <t>CHIEF Chipotle &amp; Lime Beef Brisket Bar 40g</t>
  </si>
  <si>
    <t>CHIEF Hazelnut Brownie Collagen Protein Bar 45g</t>
  </si>
  <si>
    <t>FTN Bliss Bar Choc Peanut 40g</t>
  </si>
  <si>
    <t>FTN Bliss Bar White Choc Cran 40g</t>
  </si>
  <si>
    <t>FTN Protein Cookie Double Choc 60g</t>
  </si>
  <si>
    <t>KOOEE Jerky Beef Smoked Chipotle 30g</t>
  </si>
  <si>
    <t>SPB Apricot Coconut Protein Bar 60g</t>
  </si>
  <si>
    <t>SPB Blueberry Muffin Protein Bar 60g</t>
  </si>
  <si>
    <t>AMPHORE Cocomilk Eating Kefir 400g</t>
  </si>
  <si>
    <t>BUCHI Hibiscus Galangal Kombucha 375ml</t>
  </si>
  <si>
    <t>CERES Sauerkraut 680g</t>
  </si>
  <si>
    <t>LYG Fennel &amp; Pepperberry Sauerkraut 500g</t>
  </si>
  <si>
    <t>OKBOOCHA Ginger and Lemon Myrtle Kombucha 375ml</t>
  </si>
  <si>
    <t>OKBOOCHA Zero Sugar Lemon Myrtle Sparkling Water 375ml</t>
  </si>
  <si>
    <t>Parsley Flat Bunch</t>
  </si>
  <si>
    <t>ELGIN Chunk Mangoes 1kg</t>
  </si>
  <si>
    <t>ELGIN Corn Kernels 600g</t>
  </si>
  <si>
    <t>ELGIN Frozen Garden Peas 600g</t>
  </si>
  <si>
    <t>CHEFSCH Basmati Rice 1Kg</t>
  </si>
  <si>
    <t>HTG Basmati Brown Rice 650g</t>
  </si>
  <si>
    <t>CHEFSCH Black Pepper Grinder 100g</t>
  </si>
  <si>
    <t>GOURMET Bay Leaves 5g</t>
  </si>
  <si>
    <t>FEELGOOD Choc Banana Ice Cream 4 Pack</t>
  </si>
  <si>
    <t>FLYF Watermelon Ice Blocks 57ml</t>
  </si>
  <si>
    <t>FROZENS Cookie Crumble Ice block 80ml</t>
  </si>
  <si>
    <t>FROZENS Passionfruit Tart Ice block 80ml</t>
  </si>
  <si>
    <t>YUMBAR Coffee Ice Cream Sandwich 110g</t>
  </si>
  <si>
    <t>YUMBAR Hazelnut Cream Sandwich 110g</t>
  </si>
  <si>
    <t>YUMBAR Raspberry &amp; Cream Ice Cream Sandwich 110g</t>
  </si>
  <si>
    <t>YUMBAR Vanilla Ice Cream Sandwich 110g</t>
  </si>
  <si>
    <t>SPIRAL Seaweed Furikake 76g</t>
  </si>
  <si>
    <t>MEADOWS FR Lemon &amp; Herbs Chicken Breast 220g</t>
  </si>
  <si>
    <t>NONNAS FR Chicken Schnitzel</t>
  </si>
  <si>
    <t>HTG Diced Tomatoes 400g</t>
  </si>
  <si>
    <t>BERKELO Wholemeal Shells Pasta 400g</t>
  </si>
  <si>
    <t>BLACKC Oral Swishing Oil 115ml</t>
  </si>
  <si>
    <t>NATRACARE Moist Tissues 30u</t>
  </si>
  <si>
    <t>NOOSABA Coconut Lime Deodorant Roll on 50ml</t>
  </si>
  <si>
    <t>CERES Green Olives Pitted 315g</t>
  </si>
  <si>
    <t>CHEFSCH Sweet Corn 350g</t>
  </si>
  <si>
    <t>GOODFIS Mackerel Brine Can 120g</t>
  </si>
  <si>
    <t>GOODFIS Mackerel in EVO Oil CAN 120g</t>
  </si>
  <si>
    <t>GOODFIS Salmon Brine Can 120g</t>
  </si>
  <si>
    <t>CHURCHF Rendang Curry Paste 180g</t>
  </si>
  <si>
    <t>SPIRAL ORG Tamari Soy Sauce 250ml</t>
  </si>
  <si>
    <t>CARWARI Tahini Hulled 375g</t>
  </si>
  <si>
    <t>HANDHOE Macadamia Butter Roasted Smooth 225g</t>
  </si>
  <si>
    <t>HILBILB Fire Tonic 180ml</t>
  </si>
  <si>
    <t>LIFECYK Turkey Tail Extract Liquid 60ml</t>
  </si>
  <si>
    <t>MINDFF Hibiscus 220g</t>
  </si>
  <si>
    <t>NFS Glow State Sea Moss Gel 375ml</t>
  </si>
  <si>
    <t>NFS Glow State Sea Moss Gel 500ml</t>
  </si>
  <si>
    <t>NFS OG Sea Moss Gel 375ml</t>
  </si>
  <si>
    <t>NUTRAO Marine Collagen Beauty 225g</t>
  </si>
  <si>
    <t>STARD Plant Protein Chocolate 450g</t>
  </si>
  <si>
    <t>STARD Yellow Anti-inflammatory 120g</t>
  </si>
  <si>
    <t>ZEBH Activated Coconut Charcoal 75g</t>
  </si>
  <si>
    <t>ROOGENIC Detox Tea 8tb</t>
  </si>
  <si>
    <t>CERES Coconut &amp; Chocolate Wafer Bites 60g</t>
  </si>
  <si>
    <t>Capsicum Red</t>
  </si>
  <si>
    <t>B250693</t>
  </si>
  <si>
    <t>Manly Farm Magic Box $15</t>
  </si>
  <si>
    <t>Radish Pack</t>
  </si>
  <si>
    <t>Details for Sum of Net Sales - Category: Energy &amp; Protein Bars</t>
  </si>
  <si>
    <t>Details for Sum of Net Sales - Category: Superfoods &amp; Supplements</t>
  </si>
  <si>
    <t>Details for Sum of Net Sales - Category: Drinks</t>
  </si>
  <si>
    <t>Details for Sum of Net Sales - Category: Bread &amp; Bakery</t>
  </si>
  <si>
    <t>Details for Sum of Net Sales - Category: Eggs</t>
  </si>
  <si>
    <t>BUBS Baby Food Sweetcorn Pumpkin Chia 120g</t>
  </si>
  <si>
    <t>CLEANL Plastic Free Newborns Baby Wipes 80u</t>
  </si>
  <si>
    <t>HOLLE Banana &amp; Berries with Oats &amp; Quinoa 110g</t>
  </si>
  <si>
    <t>HOLLE Millet Mango Crunchy Snack 25g</t>
  </si>
  <si>
    <t>ISAACS Chia Ful Oat Cluster 4 x 30g</t>
  </si>
  <si>
    <t>LITTLEO Goat Milk Formula Stage 1 6 x 300g</t>
  </si>
  <si>
    <t>LITTLEO Goat Milk Formula Stage 2 800g</t>
  </si>
  <si>
    <t>DIEGOS GF Wraps 360g</t>
  </si>
  <si>
    <t>MESSY Original 680g</t>
  </si>
  <si>
    <t>MESSY Sweet Potato &amp; Chilli 720g</t>
  </si>
  <si>
    <t>NATURIS Fruit and Nut Loaf 680g</t>
  </si>
  <si>
    <t>NONIES GF Fig &amp; Almond Bread 550g</t>
  </si>
  <si>
    <t>NONIES GF Seedy Brown Bread 550g</t>
  </si>
  <si>
    <t>PALAMANO Almond Tortillas 125g</t>
  </si>
  <si>
    <t>*PALEOH Primal Choc Granola 750g</t>
  </si>
  <si>
    <t>GOODMC Brown Rice Puff 175g</t>
  </si>
  <si>
    <t>MINDFF Chocolate Buckies 350g</t>
  </si>
  <si>
    <t>MINDFF Granola Eros Love &amp; Vitallity 400g</t>
  </si>
  <si>
    <t>NATPATH Envirokidz Chocolate Koala Crisp 325g</t>
  </si>
  <si>
    <t>BESTBON Bone Broth Concentrate 390g</t>
  </si>
  <si>
    <t>Babyccino</t>
  </si>
  <si>
    <t>Macchiato</t>
  </si>
  <si>
    <t>H889975</t>
  </si>
  <si>
    <t>Mint Tea</t>
  </si>
  <si>
    <t>FUNDAY Fruity Gummy Snakes 50g</t>
  </si>
  <si>
    <t>TRUEG Mints Cherry 13g</t>
  </si>
  <si>
    <t>BOULDER Potato Chips Sea Salt 142g</t>
  </si>
  <si>
    <t>JACKSON Sweet Potato Chips Carolina BBQ 142g</t>
  </si>
  <si>
    <t>JACKSON Sweet Potato Chips Sea Salt 142g</t>
  </si>
  <si>
    <t>JACKSON Sweet Potato Chips Spicy Jalapeno 142g</t>
  </si>
  <si>
    <t>PROPERC Sweet Potato Chips 100g</t>
  </si>
  <si>
    <t>SERIOUSF Popcorn Multipack Sea Salt 120g</t>
  </si>
  <si>
    <t>ALTEREC Choc Bar Blackout¬†85% 80g</t>
  </si>
  <si>
    <t>ALTEREC Choc Bar Salted Brown Butter 75g</t>
  </si>
  <si>
    <t>ALTEREC Choc Bar Super Blackout 90% 75g</t>
  </si>
  <si>
    <t>CAROBKI Carob Bar Almond 80g</t>
  </si>
  <si>
    <t>CAROBKI Carob Coated Almonds 100g</t>
  </si>
  <si>
    <t>LOLO Mylk Chocolate Drops</t>
  </si>
  <si>
    <t>LOLO Twin Pack Peanut Butter Caramel</t>
  </si>
  <si>
    <t>LOLO Wild Rose Ganache 30g</t>
  </si>
  <si>
    <t>MAMO Peppermint Buckwheat Crisp Carob Bar 90g</t>
  </si>
  <si>
    <t>TONYSC Milk Caramel Sea Salt Choc Bar 180g</t>
  </si>
  <si>
    <t>BYS Collagen Coffee Unsweetened 6.5g</t>
  </si>
  <si>
    <t>DRUNSJ Smokey Tomato Relish 295g</t>
  </si>
  <si>
    <t>SPIRAL Tomato Sauce 300g</t>
  </si>
  <si>
    <t>UFC Chili Mayo 280g</t>
  </si>
  <si>
    <t>UFC Tomato Ketchup 270g</t>
  </si>
  <si>
    <t>CERES Tamari Brown Rice Cakes 110g</t>
  </si>
  <si>
    <t>FINEFET Chipotle Toasties 110g</t>
  </si>
  <si>
    <t>BLUEBAY Goat Haloumi 200g</t>
  </si>
  <si>
    <t>MUNGALL Strawberry Greek Yoghurt 375g</t>
  </si>
  <si>
    <t>ORTIMES Butter Unsalted 250g</t>
  </si>
  <si>
    <t>SACREDC Ghee 270ml</t>
  </si>
  <si>
    <t>SCHULZ Natural Greek Yogurt 500g</t>
  </si>
  <si>
    <t>SYMONS Double Brie 200g</t>
  </si>
  <si>
    <t>Swiss Gruyere Cheese</t>
  </si>
  <si>
    <t>GAMZE Leg ham 150g</t>
  </si>
  <si>
    <t>GAMZE Smoked Turkey Breast 150g</t>
  </si>
  <si>
    <t>CARBOORH Australian Dry Roasted Hazelnuts 125g</t>
  </si>
  <si>
    <t>DRSUPER Dried Goji Berries 250g</t>
  </si>
  <si>
    <t>HANDHOE Macadamias Unsalted Kernel 250g</t>
  </si>
  <si>
    <t>HILTONA Prunes Pre Packs 250g</t>
  </si>
  <si>
    <t>HTG Brown Linseeds 200g</t>
  </si>
  <si>
    <t>HTG Cranberry &amp; Dark Chocolate Trail Mix 200g</t>
  </si>
  <si>
    <t>HTG Dried Pineapple Rings 100g</t>
  </si>
  <si>
    <t>HTG Raw Cashews 1kg</t>
  </si>
  <si>
    <t>HTG Sunflower Seeds 200g</t>
  </si>
  <si>
    <t>HTG Walnuts 175g</t>
  </si>
  <si>
    <t>LIVEW Activated Almonds 300g</t>
  </si>
  <si>
    <t>MINDFF Activated Almonds 250g</t>
  </si>
  <si>
    <t>POWERSF Goji Berries 125g</t>
  </si>
  <si>
    <t>ANTIPOD Sparkling Water 1L</t>
  </si>
  <si>
    <t>BLUME Mango Prebiotic Drink 375ml</t>
  </si>
  <si>
    <t>BLUME Raspberry &amp; Lime Prebiotic Drink 375ml</t>
  </si>
  <si>
    <t>GOODH Lemon Myrtle Kombucha 330ml</t>
  </si>
  <si>
    <t>KARMA Karma Cola 300 ml</t>
  </si>
  <si>
    <t>RAW Coconut Water 2L</t>
  </si>
  <si>
    <t>SIMJUI Passion Hit Superfood Prebiotic Juice 325ml</t>
  </si>
  <si>
    <t>SIMJUI Radiance Superfood Prebiotic Juice 325ml</t>
  </si>
  <si>
    <t>TGP Ginger Shot Lemon &amp; Cayenne 60ml</t>
  </si>
  <si>
    <t>TGP Ginger Wild Turmeric Shot 60ml</t>
  </si>
  <si>
    <t>UTHRIVE Desert Lime Hydration Drink 330ml</t>
  </si>
  <si>
    <t>PADDOCK Dozen Eggs 700g</t>
  </si>
  <si>
    <t>BLUEDIN Paleo Bar Cacao Mint 45g</t>
  </si>
  <si>
    <t>CHIEF Choc Coated Mint Collagen Bar 45g</t>
  </si>
  <si>
    <t>FOODTN Protein Cookie Choc peanut 60g</t>
  </si>
  <si>
    <t>FTN Protein Cookie Choc Chip 60g</t>
  </si>
  <si>
    <t>FTN Protein Cookie Lemon Shortbread 60g</t>
  </si>
  <si>
    <t>SPB Banana Bread Protein Bar 60g</t>
  </si>
  <si>
    <t>THANKSD Dark Choc &amp; Berry Bar 40g</t>
  </si>
  <si>
    <t>THANKSD Lemon &amp; Maca Bar Pack 200g</t>
  </si>
  <si>
    <t>BUCHI Ginger Turmeric Kombucha 375ml</t>
  </si>
  <si>
    <t>LOVEO ORG Kimchi Sauerkraut 440g</t>
  </si>
  <si>
    <t>PLV Green SuperKraut 650g</t>
  </si>
  <si>
    <t>PLV Superkraut  Beetroot &amp; Herbs 650g</t>
  </si>
  <si>
    <t>BOBSRED Pancake Mix GF 680g</t>
  </si>
  <si>
    <t>CHEFSCH Rose Water 250ml</t>
  </si>
  <si>
    <t>POWERSF Cacao Powder 250g</t>
  </si>
  <si>
    <t>STONEYC Brown Flaxseed Meal 500g</t>
  </si>
  <si>
    <t>ELGIN Frozen Green Beans 600g</t>
  </si>
  <si>
    <t>MTW Wild Blueberries 500g</t>
  </si>
  <si>
    <t>OOB Potato Wedges 500g</t>
  </si>
  <si>
    <t>GHF Masoor Dahl 700g</t>
  </si>
  <si>
    <t>HOG Chicken Goji &amp; Kale Meatballs 320g</t>
  </si>
  <si>
    <t>HOG Dumplings Pork Spring Onion 285g</t>
  </si>
  <si>
    <t>Grapefruit</t>
  </si>
  <si>
    <t>Y495411</t>
  </si>
  <si>
    <t>Paw Paw (Red Papaya)</t>
  </si>
  <si>
    <t>L407795</t>
  </si>
  <si>
    <t>CERES Butter Beans TIN 400g</t>
  </si>
  <si>
    <t>HTG Basmati White Rice 650g</t>
  </si>
  <si>
    <t>HTG Black Beans TIN 400g</t>
  </si>
  <si>
    <t>HTG Black Beluga Lentils 500g</t>
  </si>
  <si>
    <t>HTG Hulled Buckwheat 500g</t>
  </si>
  <si>
    <t>HTG Red Split Lentils 500g</t>
  </si>
  <si>
    <t>MANFUSO Baked Beans in Tomato Sauce 400g</t>
  </si>
  <si>
    <t>GOURMET Paprika Smoked 30g</t>
  </si>
  <si>
    <t>HTG Celtic Salt Fine 600g</t>
  </si>
  <si>
    <t>HTG Himalayan Rock Salt Fine 600g</t>
  </si>
  <si>
    <t>MINDFF Organic Turmeric 300g</t>
  </si>
  <si>
    <t>BLULEM Pachouli &amp; Rose  Incense Sticks 10st</t>
  </si>
  <si>
    <t>BLULEM Tonka Bean &amp; Sandalwood Incense Sticks 10st</t>
  </si>
  <si>
    <t>KOALA Pillow &amp; Linen Spray Eucalyptus Peppermint Rosalina 250ml</t>
  </si>
  <si>
    <t>WGAC Paper Towel</t>
  </si>
  <si>
    <t>FRANUI Dark 150g</t>
  </si>
  <si>
    <t>FRANUI Milk 150g</t>
  </si>
  <si>
    <t>MUNGALL Belgian Choc Ice Cream 110g</t>
  </si>
  <si>
    <t>MUNGALL Choc Mint Choc Ice Cream 110g</t>
  </si>
  <si>
    <t>MUNGALL Vanilla Ice Cream 110g</t>
  </si>
  <si>
    <t>YUMBAR Caramel Cream Sandwich 110g</t>
  </si>
  <si>
    <t>YUMBAR Multi Pack Vanilla  12u</t>
  </si>
  <si>
    <t>MINDFF Black Pepper 130g</t>
  </si>
  <si>
    <t>Kitchen - food service products</t>
  </si>
  <si>
    <t>GOLDEN Grind Turmeric Latte 100g</t>
  </si>
  <si>
    <t>108731F</t>
  </si>
  <si>
    <t>PRANCHAI Sticky Chai Masala Blend 1kg</t>
  </si>
  <si>
    <t>TOKUNAGA Matcha Powder 100g</t>
  </si>
  <si>
    <t>BITEME Thai Chicken Bites 300g</t>
  </si>
  <si>
    <t>NONNAS Angus Beef Burger</t>
  </si>
  <si>
    <t>W685813</t>
  </si>
  <si>
    <t>NONNAS ORG Beef Sausages</t>
  </si>
  <si>
    <t>COGR EV Olive Oil 500ml</t>
  </si>
  <si>
    <t>CERES Vegan Basil Pesto 130g</t>
  </si>
  <si>
    <t>SPIRAL Pasta Sauce Basil and Garlic 375g</t>
  </si>
  <si>
    <t>BERKELO Sourdough Spelt Shells Pasta 400g</t>
  </si>
  <si>
    <t>CASALAR GF Penne 250g</t>
  </si>
  <si>
    <t>CERES GF Sorghum Spaghetti 250g</t>
  </si>
  <si>
    <t>HTG Tom Yum Instant Noodles 85g</t>
  </si>
  <si>
    <t>KINGSOBA 100% Buckwheat Ramen Noodles 280g</t>
  </si>
  <si>
    <t>NCHOICE Bifun Brown Rice Noodles 200g</t>
  </si>
  <si>
    <t>OGO GF Amaranth Rice Penne 300g</t>
  </si>
  <si>
    <t>Otway GF Torchio 375g</t>
  </si>
  <si>
    <t>SPIRAL GF White Rice Noodles 225g</t>
  </si>
  <si>
    <t>AZINC Avo Zinc SPF50 Sunscreen 100ml</t>
  </si>
  <si>
    <t>DAVIDS Anti-plaque Whitening Peppermint Toothpaste 149g</t>
  </si>
  <si>
    <t>DOTERRA Grounding Blend Deodorant 75g</t>
  </si>
  <si>
    <t>EPZEN Sensitive Body Wash 400ml</t>
  </si>
  <si>
    <t>EWISEN Body Wash Orange Cedarwood Sage 1L</t>
  </si>
  <si>
    <t>GRANTS Blueberry Burst Kids Toothpaste 75g</t>
  </si>
  <si>
    <t>HURRAW Almond Lip Balm 4.3g</t>
  </si>
  <si>
    <t>JUNIPER Pure Rejuvenation Oil 30ml</t>
  </si>
  <si>
    <t>LU Natural Sunscreen SPF 30 100g</t>
  </si>
  <si>
    <t>NOOSABA Charcoal &amp; Eucalyptus Deodorant Roll on 50ml</t>
  </si>
  <si>
    <t>NOOSABA Sandalwood Deodorant Stick 60g</t>
  </si>
  <si>
    <t>AO Beetroot Slices 340g</t>
  </si>
  <si>
    <t>AO Kalamata Olives Pitted 295g</t>
  </si>
  <si>
    <t>KURA Natural Ginger Pickles 190g</t>
  </si>
  <si>
    <t>CHURCHF Homestyle Indian Curry Paste 180g</t>
  </si>
  <si>
    <t>MINGLE Mellow Taco All Natural Recipe Base 30g</t>
  </si>
  <si>
    <t>HANDHOE Macadamia Butter Roasted Crunchy 225g</t>
  </si>
  <si>
    <t>HTG Organic Maple Syrup 250ml</t>
  </si>
  <si>
    <t>SPIRAL ORG Maple Syrup 250ml</t>
  </si>
  <si>
    <t>CHIEF Grass Fed Collagen Protein Dark Chocolate Powder 450g</t>
  </si>
  <si>
    <t>COMVITA Propolis Oral Spray 20ml</t>
  </si>
  <si>
    <t>HW Vegan Protein Water Sour Berry 420g</t>
  </si>
  <si>
    <t>MELROSE MCT Oil Kick Start 250ml</t>
  </si>
  <si>
    <t>MINDFF Beetroot Powder 150g</t>
  </si>
  <si>
    <t>MINDFF Fungi Lion's Mane 100g</t>
  </si>
  <si>
    <t>MITCHELLSN Bone Broth Protein Powder Strawberry 30g</t>
  </si>
  <si>
    <t>MWU Supergut Protein Swiss Chocolate 400g</t>
  </si>
  <si>
    <t>NATURALL Propolis &amp; Manuka Honey Candies 40pcs</t>
  </si>
  <si>
    <t>NATURALL Propolis Liquid 40% (No Alcohol) 25ml</t>
  </si>
  <si>
    <t>NFS Blue Tongue Sea Moss Gel 375ml</t>
  </si>
  <si>
    <t>NFS OG Sea Moss Gel 500ml</t>
  </si>
  <si>
    <t>NUTRAO Natural Gelatin 300g</t>
  </si>
  <si>
    <t>POWERSF Plant Protein Vanilla 400g</t>
  </si>
  <si>
    <t>RESPIRE Sleep Strips 30 Pack</t>
  </si>
  <si>
    <t>STARD Blue Immunity 120g</t>
  </si>
  <si>
    <t>STARD Plant Protein Original 380g</t>
  </si>
  <si>
    <t>TRUE Collagen Mixed Berries 300g</t>
  </si>
  <si>
    <t>TRUE WPI 90 Chocolate Protein Powder 360g</t>
  </si>
  <si>
    <t>TRUE WPI 90 Natural Protein Powder 1kg</t>
  </si>
  <si>
    <t>BUDDHAT Dandelion Root  18pk</t>
  </si>
  <si>
    <t>BUDDHAT Hibiscus Tea 18tb</t>
  </si>
  <si>
    <t>BUDDHAT Raspberry Leaf Tea 18tb</t>
  </si>
  <si>
    <t>ETS Cocoa Rooibos &amp; Vanilla Tea 20tb</t>
  </si>
  <si>
    <t>ETS Rooibos Tea 20tb</t>
  </si>
  <si>
    <t>MINDFF Chillax Brew Tea 60g</t>
  </si>
  <si>
    <t>MINDFF DMTea Tea 100g</t>
  </si>
  <si>
    <t>MINDFF Lemom Balm 70g</t>
  </si>
  <si>
    <t>MOT Pure Green Tea 20tb</t>
  </si>
  <si>
    <t>ORGIN Deep Mint Tea 25tb</t>
  </si>
  <si>
    <t>ORGIN Hibiscus Tea 25tb</t>
  </si>
  <si>
    <t>ORGIN Tulsi Sleep Tea 25tb</t>
  </si>
  <si>
    <t>QITEA Matcha Green Tea 25tb</t>
  </si>
  <si>
    <t>ROOGENIC Berry Sleep Tea 8tb</t>
  </si>
  <si>
    <t>XOTEA Cleanse Australian Detox Tea 25tb</t>
  </si>
  <si>
    <t>HSS Roasted Seaweed Snacks Teriyaki 5g</t>
  </si>
  <si>
    <t>DELISOY Tofu Firm 375g</t>
  </si>
  <si>
    <t>Green Beans</t>
  </si>
  <si>
    <t>568967C</t>
  </si>
  <si>
    <t>Pumpkin Butternut</t>
  </si>
  <si>
    <t>MOGLI Cheese &amp; Olive Oil Pizza Sticks 75g</t>
  </si>
  <si>
    <t>OGO Quinitos Coconut Honey Snack Quinoa Rice 70g</t>
  </si>
  <si>
    <t>BIONA Rye Omega Golden Linseed Bread 500g</t>
  </si>
  <si>
    <t>GFPRECIENCT GF Pizza Base 380g</t>
  </si>
  <si>
    <t>LATORTI Corn Tortillas 8 x 220g</t>
  </si>
  <si>
    <t>NONIES GF Light Golden Bread 1.1Kg</t>
  </si>
  <si>
    <t>BOBSRED Creamy Buckwheat 510g</t>
  </si>
  <si>
    <t>BOBSREDM ORG Quick Cooking Oats 454g</t>
  </si>
  <si>
    <t>CERES Amaranth Puffs 150g</t>
  </si>
  <si>
    <t>CHEFSCH Bircher Muesli Vanilla 500g</t>
  </si>
  <si>
    <t>FOURLF Rolled Oats Original 800g</t>
  </si>
  <si>
    <t>FTN GF Muesli Apple Cinnamon 400g</t>
  </si>
  <si>
    <t>GOODMIX Blend 13 Paleo Mix 400g</t>
  </si>
  <si>
    <t>MINDFF Clusters Chocolate Davidson Plum 200g</t>
  </si>
  <si>
    <t>MINDFF Clusters Chocolate Davidson Plum 350g</t>
  </si>
  <si>
    <t>MINDFF Granola Brain Power Cacao 450g</t>
  </si>
  <si>
    <t>BRNBYBB Beef Bone Broth 1L</t>
  </si>
  <si>
    <t>BRNBYBB Chicken Bone Broth 1L</t>
  </si>
  <si>
    <t>CHERRYT Beef Bone Broth 500ml</t>
  </si>
  <si>
    <t>GEVITY Bone Broth Natural 390g</t>
  </si>
  <si>
    <t>TSM Concentrate Collagen Enriched Broth 275g</t>
  </si>
  <si>
    <t>TSM Ginger &amp; Turmeric Concentrate Beef Broth 275g</t>
  </si>
  <si>
    <t>URBANF Chicken Stock 250g</t>
  </si>
  <si>
    <t>SOLGOLD Dark Chocolate Baking Swirls 58%  150g</t>
  </si>
  <si>
    <t>Chamomile</t>
  </si>
  <si>
    <t>C522562</t>
  </si>
  <si>
    <t>AO Licorice 200g</t>
  </si>
  <si>
    <t>COMVITA Manuka Honey Pop 15pc</t>
  </si>
  <si>
    <t>Koochikoo No Sugar Lollipops Mixed Flavours 60g</t>
  </si>
  <si>
    <t>PUR Cinnamon Mints 30g</t>
  </si>
  <si>
    <t>TGP Original Chewy Candy Box 84g</t>
  </si>
  <si>
    <t>TGUMMIES Green Goodness 120g</t>
  </si>
  <si>
    <t>TGUMMIES Mango Coconut 120g</t>
  </si>
  <si>
    <t>TGUMMIES Mixed Berries 120g</t>
  </si>
  <si>
    <t>VALLI Blueberry Koala Bear 50g</t>
  </si>
  <si>
    <t>VALLI Sour Cola Bottle 50g</t>
  </si>
  <si>
    <t>BOULDER Potato Chips Olive Oil 142g</t>
  </si>
  <si>
    <t>ALTEREC Choc Bar Dark Salted Burnt Caramel 80g</t>
  </si>
  <si>
    <t>ALTEREC Choc Bar Dark¬†Mint¬†90%¬†80g</t>
  </si>
  <si>
    <t>ALTEREC Dark Choc Sea Salt 80g</t>
  </si>
  <si>
    <t>BENNETT Choc Bar Salted Caramel 100g</t>
  </si>
  <si>
    <t>CAROBKI Carob Coated Sultanas 100g</t>
  </si>
  <si>
    <t>LOLO Black Cherry Raspberry 30g</t>
  </si>
  <si>
    <t>LOLO Dark Chocolate Drops</t>
  </si>
  <si>
    <t>LOLO Twin Pack Classic Chewy Caramel</t>
  </si>
  <si>
    <t>MONSIEURT 70% Dark Choc Bar 80g</t>
  </si>
  <si>
    <t>MONSIEURT Caramel Vanilla 30% White Choc Bar 80g</t>
  </si>
  <si>
    <t>TONYSC Milk Caramel Sea Salt Choc Bar 47g</t>
  </si>
  <si>
    <t>BONVIT Tea Roasted Dandelion Medium 150g</t>
  </si>
  <si>
    <t>EVEW Latte Functional Mushroom 124g</t>
  </si>
  <si>
    <t>GOLDFLD Dandelion Granules 175g</t>
  </si>
  <si>
    <t>DELFILS Org Dijon Mustard 200g</t>
  </si>
  <si>
    <t>SPIRAL Wholegrain Mustard 200g</t>
  </si>
  <si>
    <t>FOF Orange &amp; Almond Cookies 160g</t>
  </si>
  <si>
    <t>FOF Raw Cacao &amp; Hazelnut Cookies 160g</t>
  </si>
  <si>
    <t>CURCAUL Cauli Crackers 70g</t>
  </si>
  <si>
    <t>CURCAUL Rosemary &amp; Garlic Cauli Crackers 80g</t>
  </si>
  <si>
    <t>LBO Almond Crackers Sea Salt &amp; Thyme 100g</t>
  </si>
  <si>
    <t>LOKA Italian Cheese &amp; Herb Crackers 120g</t>
  </si>
  <si>
    <t>MARYSGC Crackers Herb 184g</t>
  </si>
  <si>
    <t>OLIVERL Beetroot Pomegranate Fennel Crispbread 125g</t>
  </si>
  <si>
    <t>OLIVERL Buckwheat Caraway Crispbread 125g</t>
  </si>
  <si>
    <t>SPIRAL Nori Seaweed Rice Crackers 50g</t>
  </si>
  <si>
    <t>SPIRAL Tamari Crackers 65g</t>
  </si>
  <si>
    <t>SPIRAL White Sesame Rice Crackers 75g</t>
  </si>
  <si>
    <t>BARAMBA Cheddar Block 250g</t>
  </si>
  <si>
    <t>MEREDIT Goat's Cheese in Olive Oil 320g</t>
  </si>
  <si>
    <t>MEREDIT Traditional Greek Sheep Yoghurt 500g</t>
  </si>
  <si>
    <t>MUNGALL Cracked Pepper Cheese 200g</t>
  </si>
  <si>
    <t>MUNGALL Greek Yoghurt Berry Bliss 375g</t>
  </si>
  <si>
    <t>MUNGALL Yoghurt Natural 500g</t>
  </si>
  <si>
    <t>PARISC Full Cream Yoghurt 500g</t>
  </si>
  <si>
    <t>143890A</t>
  </si>
  <si>
    <t>PEPESAY ORG Ghee 190g</t>
  </si>
  <si>
    <t>SACREDC Ghee 660ml</t>
  </si>
  <si>
    <t>SCHULZ Organic Natural Yogurt 500g</t>
  </si>
  <si>
    <t>SYMONS Cheddar 200g</t>
  </si>
  <si>
    <t>SYMONS Parmesan 150g</t>
  </si>
  <si>
    <t>SYMONS Shaved Parmesan 140g</t>
  </si>
  <si>
    <t>Saint David Cultured Butter Salted 190g</t>
  </si>
  <si>
    <t>BBO Sweet Garlic 210g</t>
  </si>
  <si>
    <t>BOTCUIS Dip Caramelised Beetroot 325g</t>
  </si>
  <si>
    <t>MURRAYR Free Range Ham Slices 180g</t>
  </si>
  <si>
    <t>OINDUL Beetroot Dip 200g</t>
  </si>
  <si>
    <t>THUMBLE Hummus 900g</t>
  </si>
  <si>
    <t>CARBOORH Australian Pecans 125g</t>
  </si>
  <si>
    <t>DRSUPER Dried Strawberry 125g</t>
  </si>
  <si>
    <t>DRSUPER Dried Wild Blueberries 125g</t>
  </si>
  <si>
    <t>HANDHOE Macadamias Unsalted Kernel 500g</t>
  </si>
  <si>
    <t>HTG Coconut Cream 400ml</t>
  </si>
  <si>
    <t>HTG Coconut Shredded 125g</t>
  </si>
  <si>
    <t>HTG Diced Bare Ginger 300g</t>
  </si>
  <si>
    <t>HTG Dried Bananas 200g</t>
  </si>
  <si>
    <t>HTG Dried Currants 500g</t>
  </si>
  <si>
    <t>HTG Insecticide Free Almonds 200g</t>
  </si>
  <si>
    <t>HTG Pine Nuts 100g</t>
  </si>
  <si>
    <t>HTG¬†Dried¬†Apricots¬†200g</t>
  </si>
  <si>
    <t>LBO Activated Salty Seaweed Almonds 120g</t>
  </si>
  <si>
    <t>LIVEW Activated Almonds 120g</t>
  </si>
  <si>
    <t>LIVEW Activated Pecans 300g</t>
  </si>
  <si>
    <t>LIVEW Activated Walnuts 300g</t>
  </si>
  <si>
    <t>MAREEBA Australian Dried Banana 85g</t>
  </si>
  <si>
    <t>MINDFF Activated Cashews 260g</t>
  </si>
  <si>
    <t>MINDFF Activated Pecans 90g</t>
  </si>
  <si>
    <t>MINDFF Activated Pepitas 300g</t>
  </si>
  <si>
    <t>MINDFF Maple Munchies 100g</t>
  </si>
  <si>
    <t>MINDFF Munchies Teriyaki 90g</t>
  </si>
  <si>
    <t>MINDFF Tamari Almonds 300g</t>
  </si>
  <si>
    <t>ORG Medjool Dates 1Kg</t>
  </si>
  <si>
    <t>RVF Medjool Dates 450g</t>
  </si>
  <si>
    <t>SULTANAG Vine Dried Sultanas 300g</t>
  </si>
  <si>
    <t>CCACAO 100% Ceremonial Cacao Pieces 1Kg</t>
  </si>
  <si>
    <t>MOTHERL Coffee with Collagen 15sc</t>
  </si>
  <si>
    <t>C535128</t>
  </si>
  <si>
    <t>POWERSF Cacao Gold Paste Ceremonial Cacao 225g</t>
  </si>
  <si>
    <t>TRUE Rich Hot Chocolate 200g</t>
  </si>
  <si>
    <t>*CHIAS Berry Chia Smoothie 200ml</t>
  </si>
  <si>
    <t>*KARMA Karma Cola 300ml</t>
  </si>
  <si>
    <t>EORCHARD Pure Blueberry Juice 750ml</t>
  </si>
  <si>
    <t>MTW Wild Blueberry Juice 500ml</t>
  </si>
  <si>
    <t>SUUNYC Sparkling Water 375ml</t>
  </si>
  <si>
    <t>TWRDS Lion's Mane Infused Cold Brew 250ml</t>
  </si>
  <si>
    <t>LAKEM Pastured Eggs Dozen 700g</t>
  </si>
  <si>
    <t>CHEEKI Biltong Chili 70g</t>
  </si>
  <si>
    <t>LOCAKO Protein Brownie Ball Peanut Butter Jelly 30g</t>
  </si>
  <si>
    <t>MAXD Wellness Square Cinnamon Donut 40g</t>
  </si>
  <si>
    <t>RDPB Made Good Macro Bar 80g</t>
  </si>
  <si>
    <t>SPB Caramel Honey Macadamia Protein Bar 60g</t>
  </si>
  <si>
    <t>SPB Choc Chip Cookie Dough Protein Bar 60g</t>
  </si>
  <si>
    <t>SPB Chocolate Chip Protein Bar 60g</t>
  </si>
  <si>
    <t>SPB Peanut Choc Caramel Protein Bar 60g</t>
  </si>
  <si>
    <t>SPB Raphaello Flavour Protein Bar 60g</t>
  </si>
  <si>
    <t>SPB Vanilla Nougat Protein Bar 60g</t>
  </si>
  <si>
    <t>THANKSD Caramel Pecan Bar Pack 200g</t>
  </si>
  <si>
    <t>AO Ginger Turmeric Sauerkraut 350g</t>
  </si>
  <si>
    <t>BABUSHKA Organic Natural Kefir 500g</t>
  </si>
  <si>
    <t>HERBSOL Caraway Seed Sauerkraut 380g</t>
  </si>
  <si>
    <t>LOVEO ORG Ruby Sauerkraut 440g</t>
  </si>
  <si>
    <t>LYG Smokey Garlic Jalapeno Sauerkraut 250g</t>
  </si>
  <si>
    <t>BOBSRED All-Purpose Baking Flour GF 623g</t>
  </si>
  <si>
    <t>BOBSRED Dark Rye Flour 567g</t>
  </si>
  <si>
    <t>BOBSRED GF 1-to-1 Baking Flour 624g</t>
  </si>
  <si>
    <t>BOBSRED Masa Harina Flour 680g</t>
  </si>
  <si>
    <t>BOBSRED Potato Starch 623g</t>
  </si>
  <si>
    <t>BOBSRED Wholegrain Oat Flour 567g</t>
  </si>
  <si>
    <t>CASALAR Rice Bread Crumbs 330g</t>
  </si>
  <si>
    <t>KIALLA Unbleached Self Raising Flour 1Kg</t>
  </si>
  <si>
    <t>PARGO Eucalypt Green Bottle 950ml</t>
  </si>
  <si>
    <t>Food Storage</t>
  </si>
  <si>
    <t>Coriander Bunch</t>
  </si>
  <si>
    <t>Dill Bunch</t>
  </si>
  <si>
    <t>ELGIN Chunk Mangoes 350g</t>
  </si>
  <si>
    <t>ELGIN Frozen Strawberries 350g</t>
  </si>
  <si>
    <t>ELGIN Mixed Berries 1kg</t>
  </si>
  <si>
    <t>ELGIN Pineapple 1Kg</t>
  </si>
  <si>
    <t>ELGIN Sweet Cherries 1Kg</t>
  </si>
  <si>
    <t>W804383</t>
  </si>
  <si>
    <t>ELGIN Sweet Cherries 350g</t>
  </si>
  <si>
    <t>632609K</t>
  </si>
  <si>
    <t>HARVESTT Papaya 400g</t>
  </si>
  <si>
    <t>FUNKP Funky Chuncky Pie 180g</t>
  </si>
  <si>
    <t>GHF Tofu Green Bean Stew 700g</t>
  </si>
  <si>
    <t>HOG Dumplings Tofu Shiitake Mushroom 275g</t>
  </si>
  <si>
    <t>Mangoes</t>
  </si>
  <si>
    <t>X290400</t>
  </si>
  <si>
    <t>BYRONB Be Poweful 12ml</t>
  </si>
  <si>
    <t>S415078</t>
  </si>
  <si>
    <t>LUVINL Citrine Fairy Lights 2m</t>
  </si>
  <si>
    <t>PDS Face Gel Cream 75ml</t>
  </si>
  <si>
    <t>BASQUE Paella Rice 325g</t>
  </si>
  <si>
    <t>CHEFSCH CORN Popping Corn 500g</t>
  </si>
  <si>
    <t>HTG French Style Green Lentils 500g</t>
  </si>
  <si>
    <t>HTG Organic Jasmine Rice 650g</t>
  </si>
  <si>
    <t>SPIRAL Black Beans TIN 400g</t>
  </si>
  <si>
    <t>GOURMET Coriander Seeds 20g</t>
  </si>
  <si>
    <t>GOURMET Curry Leaves 5g</t>
  </si>
  <si>
    <t>GOURMET Fennel Seeds 30g</t>
  </si>
  <si>
    <t>GOURMET Ginger Ground 30g</t>
  </si>
  <si>
    <t>GOURMET Ground Black Pepper 40g</t>
  </si>
  <si>
    <t>GOURMET Ground Cumin 30g</t>
  </si>
  <si>
    <t>GOURMET Lemongrass Powder 20g</t>
  </si>
  <si>
    <t>GOURMET Middle Eastern Blend 30g</t>
  </si>
  <si>
    <t>HTG Celtic Salt Coarse 600g</t>
  </si>
  <si>
    <t>HTG Himalayan Rock Salt Crystals 600g</t>
  </si>
  <si>
    <t>HTG Nutritional Yeast Flakes 150g</t>
  </si>
  <si>
    <t>LASHERM Smoked Sweet Paprika 70g</t>
  </si>
  <si>
    <t>MINGLE Guac &amp; Avo All Natural Seasoning 100g</t>
  </si>
  <si>
    <t>OLSSONS The Great White Salt Rub 160g</t>
  </si>
  <si>
    <t>SALTEAR Celtic Sea Salt Fine 650g</t>
  </si>
  <si>
    <t>BLULEM Pachouli &amp; Lavender Incense Sticks 10st</t>
  </si>
  <si>
    <t>DOTERRA Essential Oil Lemon 15ml</t>
  </si>
  <si>
    <t>DRORG Eucalyptus Pure Oil 10ml</t>
  </si>
  <si>
    <t>BIONA Harissa Chilli Relish 125g</t>
  </si>
  <si>
    <t>BIPPI Italian Bomba Hot 240g</t>
  </si>
  <si>
    <t>CERES Sriracha Chilli Sauce 250ml</t>
  </si>
  <si>
    <t>*SCLEAN Hand Wash Lemon &amp; Myrtle 500ml</t>
  </si>
  <si>
    <t>*White Magic - Eco Basics Party Set Bio 140pc</t>
  </si>
  <si>
    <t>ECOLOGIC Dishwashing Liquid Sweet Orange &amp; Clementine 500ml</t>
  </si>
  <si>
    <t>GCS 3 Eco Cloths Medium</t>
  </si>
  <si>
    <t>KOALA Floor Cleaner Mandarin &amp; Peppermint 500ml</t>
  </si>
  <si>
    <t>KOALA Pot Scrubber 1u</t>
  </si>
  <si>
    <t>SCLEAN Healthy Clean Bathroom 500ml</t>
  </si>
  <si>
    <t>SCLEAN Laundry Powder Eucalyptus 1Kg</t>
  </si>
  <si>
    <t>SCLEAN Spray &amp; Wipe Lemon Myrtle 500ml</t>
  </si>
  <si>
    <t>SCLEAN Toilet Cleaner Eucalyptus 500ml</t>
  </si>
  <si>
    <t>SCLEAN Window &amp; Glass Cleaner 500ml</t>
  </si>
  <si>
    <t>WGAC Toilet Paper Single Roll</t>
  </si>
  <si>
    <t>FLYF Lime &amp; Mint Ice Blocks 57ml</t>
  </si>
  <si>
    <t>FLYF Milk Choc Ice Blocks 57ml</t>
  </si>
  <si>
    <t>FLYF Strawberry Lemon Ice Blocks 57ml</t>
  </si>
  <si>
    <t>MUNGALL Belgian Choc Ice Cream 476g</t>
  </si>
  <si>
    <t>YUMBAR Multi Pack Creamy  12u</t>
  </si>
  <si>
    <t>YUMBAR Multi Pack Fruity  12u</t>
  </si>
  <si>
    <t>KURA Sushi Nori 12pc</t>
  </si>
  <si>
    <t>KURA White Miso Paste 200g</t>
  </si>
  <si>
    <t>SPIRAL Instant Miso White 7g x 5</t>
  </si>
  <si>
    <t>SPIRAL ORG Miso Mugi 400g</t>
  </si>
  <si>
    <t>SPIRAL Plum Vinegar 250ml</t>
  </si>
  <si>
    <t>WANJANS Dumpling Sauce 200ml</t>
  </si>
  <si>
    <t>WANJANS Shitake Stir Fry Sauce 200ml</t>
  </si>
  <si>
    <t>MATCHAM Matcha Whisk 1u</t>
  </si>
  <si>
    <t>MINDFF Matcha Ceremonial 100g</t>
  </si>
  <si>
    <t>BITEME Greek Keftedes Meatballs 240g</t>
  </si>
  <si>
    <t>MEADOWS FR Portuguese Chicken Breast 220g</t>
  </si>
  <si>
    <t>NONNAS Italian Meatballs</t>
  </si>
  <si>
    <t>NONNAS ORG Beef Stir fry</t>
  </si>
  <si>
    <t>663660P</t>
  </si>
  <si>
    <t>NONNAS Thick Italian Sausages</t>
  </si>
  <si>
    <t>NONNAS org Beef Scotch Fillet Steak</t>
  </si>
  <si>
    <t>CHEFSCH Balsamic Glaze 150ml</t>
  </si>
  <si>
    <t>HTG Coconut Oil Virgin 1L</t>
  </si>
  <si>
    <t>KIWIA Truffle Oil Infused Olives 150g</t>
  </si>
  <si>
    <t>MOUNTZ Arbequina EV Olive Oil 500ml</t>
  </si>
  <si>
    <t>PLENTY Almond Oil 375ml</t>
  </si>
  <si>
    <t>SPIRAL ORG Apple Cider Vinegar 500ml</t>
  </si>
  <si>
    <t>THREEO Olive Oil 3L</t>
  </si>
  <si>
    <t>WILDM Apple Cider Vinegar 500ml</t>
  </si>
  <si>
    <t>HTG Org Tomato Puree 690g</t>
  </si>
  <si>
    <t>HTG Passata Rustica 680g</t>
  </si>
  <si>
    <t>SPIRAL Sauce Pizza/Pasta 375g</t>
  </si>
  <si>
    <t>SPIRAL Sugo Garlic Basil Pasta Sauce 709g</t>
  </si>
  <si>
    <t>ALBGOLD Kids Pasta Dinos 300g</t>
  </si>
  <si>
    <t>ALBGOLD Kids Pasta Farms 300g</t>
  </si>
  <si>
    <t>BERKELO Sourdough Khorasan Macaroni Pasta 400g</t>
  </si>
  <si>
    <t>CASALAR GF Cannelloni 125g</t>
  </si>
  <si>
    <t>CASALAR GF Spirals 250g</t>
  </si>
  <si>
    <t>CERES GF Quinoa Rice Spaghetti 250g</t>
  </si>
  <si>
    <t>CERES GF Sorghum Fusilli 250g</t>
  </si>
  <si>
    <t>KINGSOBA 100% Buckwheat Noodles 250g</t>
  </si>
  <si>
    <t>NCHOICE Brown Rice &amp; Pumpkin Noodles 200g</t>
  </si>
  <si>
    <t>OGO Baby Anellini Vegetables 250g</t>
  </si>
  <si>
    <t>OGO GF Quinoa Rice Penne 300g</t>
  </si>
  <si>
    <t>PASCAR Lumaconi Pasta 500g</t>
  </si>
  <si>
    <t>PASCAR Rigatoni Pasta 500g</t>
  </si>
  <si>
    <t>SPIRAL Instant Rice Noodle 5x60g</t>
  </si>
  <si>
    <t>SPIRAL Shirataki Noodles 75g</t>
  </si>
  <si>
    <t>TWF Kelp Noodles 340g</t>
  </si>
  <si>
    <t>ZEROSLM Konjac Fettuccini Style 400g</t>
  </si>
  <si>
    <t>ZEROSLM Konjac Noodle Style 400g</t>
  </si>
  <si>
    <t>ZEROSLM Low Carb Rice 1kg</t>
  </si>
  <si>
    <t>ALOED Toothpaste Fluoride Free Triple Actions Charcoal 100ml</t>
  </si>
  <si>
    <t>ALOED Toothpaste Sensitive 100ml</t>
  </si>
  <si>
    <t>AMPERNA Pro+Bio Resurfacing Retinol Atl 50ml</t>
  </si>
  <si>
    <t>ASHAYA In-Flow Body Oil 100ml</t>
  </si>
  <si>
    <t>ASHAYA Re-Glow Face Oil 30ml</t>
  </si>
  <si>
    <t>BLACKC Axilla Deodorant Paste 75g</t>
  </si>
  <si>
    <t>DAVIDS Sensitive Whitening Peppermint Toothpaste 113g</t>
  </si>
  <si>
    <t>DRBRON Lavender Coconut Hair Creme 177ml</t>
  </si>
  <si>
    <t>DRKWASI Natural Moskito Shield 50ml</t>
  </si>
  <si>
    <t>DRORG Toothpaste Activated Charcoal 100ml</t>
  </si>
  <si>
    <t>EPZEN Moisture Body Wash 400ml</t>
  </si>
  <si>
    <t>EWISEN Hand Wash Coconut &amp; Vanilla 450ml</t>
  </si>
  <si>
    <t>GEM Toothpaste Premium Natural Watermelon Mint 100g</t>
  </si>
  <si>
    <t>GOBAMBOO Toothbrush Children 1u</t>
  </si>
  <si>
    <t>GOODIESG Epsom Salts 1kg</t>
  </si>
  <si>
    <t>GRANTS Minty Fresh Mouthwash 500ml</t>
  </si>
  <si>
    <t>GRIN 100% Recycled Toothbrush Medium Grey</t>
  </si>
  <si>
    <t>GRIN Charcoal Infused Floss Picks Ultra Clean 40pcs</t>
  </si>
  <si>
    <t>GRIN Pro Ultimate Whitening Toothbrush Soft 2pk</t>
  </si>
  <si>
    <t>HOTRESS Rehab Conditioner Unravel Me 250ml</t>
  </si>
  <si>
    <t>HURRAW Black Cherry Tinted Lip Balm 4.8g</t>
  </si>
  <si>
    <t>HURRAW Hazelnut Tinted Lip Balm 4.8g</t>
  </si>
  <si>
    <t>HURRAW Tangerine Chamomile Lip Balm SPF15 4.3g</t>
  </si>
  <si>
    <t>JUNIPER Medi Balm 80g</t>
  </si>
  <si>
    <t>JUNIPER Oil Balancing Lotion 125ml</t>
  </si>
  <si>
    <t>KOALA Body Wash Rosalina &amp; Peppermint 500ml</t>
  </si>
  <si>
    <t>KOALA Rosalina &amp; Peppermint Hand &amp; Body Lotion 500ml</t>
  </si>
  <si>
    <t>NAKED Lemon Tallow Cream 100ml</t>
  </si>
  <si>
    <t>NATURELY Nourish Body Wash Rosehip Almond Oil 1L</t>
  </si>
  <si>
    <t>NOOSABA Foaming Face Wash Acne Pro Skin 150ml</t>
  </si>
  <si>
    <t>OYC Tampons Regular (16)</t>
  </si>
  <si>
    <t>PEACHIE Geranium &amp; Juniper Berry Soap 110g</t>
  </si>
  <si>
    <t>SLS All Hail Hydration Moisture Repair Shampoo 350ml</t>
  </si>
  <si>
    <t>SLS Eternal Boost Advanced Stimulating Shampoo 350ml</t>
  </si>
  <si>
    <t>SLS Resurrection Repair Hair Treatment Mask 350ml</t>
  </si>
  <si>
    <t>SURFMUD Mineral Sunscreen SPF 50+ 125g</t>
  </si>
  <si>
    <t>SURFMUD Ocean Addicts Sunscreen SPF 30 Tin 100g</t>
  </si>
  <si>
    <t>TGOODO The Good Oil 135ml</t>
  </si>
  <si>
    <t>TSB Bentonite Clay 400g</t>
  </si>
  <si>
    <t>TUTTO Cleansing Oil 100ml</t>
  </si>
  <si>
    <t>TUTTO Roman Blue Tallow Balm</t>
  </si>
  <si>
    <t>UNDA Natural Conditioner/Shampoo</t>
  </si>
  <si>
    <t>VRINDAV Castor Oil 100ml</t>
  </si>
  <si>
    <t>VRINDAV Castor Oil Cream Frankincense 100ml</t>
  </si>
  <si>
    <t>WELEDA Active Fresh 3 in 1 Shower Gel Men 200ml</t>
  </si>
  <si>
    <t>WELEDA Baby All Purpose Calendula Balm 25g</t>
  </si>
  <si>
    <t>WELEDA Skin Food Light Face &amp; Body Cream 75ml</t>
  </si>
  <si>
    <t>WELEDA Skin Food Lip Balm 8ml</t>
  </si>
  <si>
    <t>*ORGPAWS Lamb Sliders Dog/Cat Treats 100g</t>
  </si>
  <si>
    <t>CERES Chilli Gherkins 670g</t>
  </si>
  <si>
    <t>CERES Kalamata Olives Whole 320g</t>
  </si>
  <si>
    <t>CERES Sliced Beetroot 330g</t>
  </si>
  <si>
    <t>CERES Sundried Tomatoes in EVOO 280g</t>
  </si>
  <si>
    <t>CHEFSCH Beans Sprouts 330g</t>
  </si>
  <si>
    <t>CHEFSCH Dried Shitake Mushrooms Slices 30g</t>
  </si>
  <si>
    <t>KURA Pink Ginger Pickles 190g</t>
  </si>
  <si>
    <t>SPIRAL Pickled Ginger 50g</t>
  </si>
  <si>
    <t>SPIRAL Umeboshi Salted Plums 150g</t>
  </si>
  <si>
    <t>COOLIBAH Baby Salad Leaves 120g</t>
  </si>
  <si>
    <t>Lettuce Cos</t>
  </si>
  <si>
    <t>GOODFIS Mackerel EVO Oil Jar 195g</t>
  </si>
  <si>
    <t>GOODFIS Salmon EVO Oil Jar 195g</t>
  </si>
  <si>
    <t>GOODFIS Tuna Brine Can 125g</t>
  </si>
  <si>
    <t>GOODFIS Tuna EVO Oil Jar 195g</t>
  </si>
  <si>
    <t>SAFECAT Elite Wild Tuna 142g</t>
  </si>
  <si>
    <t>TSM Wild Mackerel in EVOO 120g</t>
  </si>
  <si>
    <t>CERES Green Thai Curry Paste 175g</t>
  </si>
  <si>
    <t>CHURCHF Thai Yellow Curry Paste 180g</t>
  </si>
  <si>
    <t>MINGLE Mexican Fajita All Natural Recipe Base 35g</t>
  </si>
  <si>
    <t>TULLYZK Butter Chicken Simmer Sauce 375g</t>
  </si>
  <si>
    <t>BRAGG Coconut Liquid Aminos 296ml</t>
  </si>
  <si>
    <t>BRAGG Liquid Aminos All Purpose Seasoning 473ml</t>
  </si>
  <si>
    <t>CARWARI Tamari Soy Sauce 250ml</t>
  </si>
  <si>
    <t>SPIRAL ORG Tamari Soy Sauce 500ml</t>
  </si>
  <si>
    <t>SPIRAL Salt Reduced Tamari Sauce 250ml</t>
  </si>
  <si>
    <t>TOPWIL Cocomino Teriyaki Sauce 250ml</t>
  </si>
  <si>
    <t>BERRING Eucalyptus Raw Honey 1Kg</t>
  </si>
  <si>
    <t>BPAUS Manuka Honey MGO 263 250g</t>
  </si>
  <si>
    <t>DALHOUSE Raspberry Rhubarb Jam 285g</t>
  </si>
  <si>
    <t>EVERYM Baby Low FODMAP Everymite Spread 150g</t>
  </si>
  <si>
    <t>HANDHOE Macadamia Butter Roasted Crunchy 700g</t>
  </si>
  <si>
    <t>HANKS Orange and Lime Marmalade</t>
  </si>
  <si>
    <t>HANKS Strawberry Jam 289g</t>
  </si>
  <si>
    <t>HTG Organic Maple Syrup 1L</t>
  </si>
  <si>
    <t>HTG Raw Honey 1Kg</t>
  </si>
  <si>
    <t>KINGI Pure Manuka Honey 700+MGO 250g</t>
  </si>
  <si>
    <t>SPIRAL Crunchy Peanut Butter 375g</t>
  </si>
  <si>
    <t>SPIRAL Hulled Tahini 375g</t>
  </si>
  <si>
    <t>ARTABAN Original Hemp Oil 100mL</t>
  </si>
  <si>
    <t>BESTBON Multi-Collagen Protein 500g</t>
  </si>
  <si>
    <t>CERES Super Seed Blend 250g</t>
  </si>
  <si>
    <t>CHIEF Grass Fed Collagen Protein Creamy Vanilla Powder 450g</t>
  </si>
  <si>
    <t>HTG Raw Maca¬†Powder¬†350g</t>
  </si>
  <si>
    <t>LIFECYK Bee Pollen 150g</t>
  </si>
  <si>
    <t>MELROSE Cod Liver Oil Health &amp; Vision 500ml</t>
  </si>
  <si>
    <t>MINDFF Lemon Myrtle 90g</t>
  </si>
  <si>
    <t>MINDFF Slippery¬†Elm¬†180g</t>
  </si>
  <si>
    <t>MITCHELLSN Bone Broth Protein Powder Salted Caramel 30g</t>
  </si>
  <si>
    <t>MITCHELLSN Bone Broth Protein Powder Unflavoured 30g</t>
  </si>
  <si>
    <t>NATURALL Propolis Soap With Tea Tree 100g</t>
  </si>
  <si>
    <t>NFS Blue Tongue Sea Moss Gel 500ml</t>
  </si>
  <si>
    <t>NFS Purple Butterfly Sea Moss Gel 375ml</t>
  </si>
  <si>
    <t>NFS Truffle Magic Sea Moss Gel 375ml</t>
  </si>
  <si>
    <t>NUTRAO Super Greens + Reds 300g</t>
  </si>
  <si>
    <t>ORGIN Moringa Leaf Powder 226g</t>
  </si>
  <si>
    <t>R447941</t>
  </si>
  <si>
    <t>SISUU Tonic 180ml</t>
  </si>
  <si>
    <t>SODII Everyday Hydration Salts Mixed Flavour 6pk</t>
  </si>
  <si>
    <t>SODII Everyday Hydration Salts Pineapple 30pk</t>
  </si>
  <si>
    <t>SODII Everyday Hydration Salts Salty Mandarin 30pk</t>
  </si>
  <si>
    <t>SODII Everyday Hydration Salts Salty Raspberry 30pk</t>
  </si>
  <si>
    <t>STARD Cacao Energise 120g</t>
  </si>
  <si>
    <t>TRUE Creatine Mono Powder 250g</t>
  </si>
  <si>
    <t>TRUE Plant Base Rich Choc Protein Powder 750g</t>
  </si>
  <si>
    <t>TRUE Protein 30g</t>
  </si>
  <si>
    <t>TRUE WPI 90 Banana &amp; Honey Protein Powder 360g</t>
  </si>
  <si>
    <t>TRUE WPI 90 Natural Protein Powder 360g</t>
  </si>
  <si>
    <t>*ETS Cranberry, Hibiscus &amp; Rosehip Tea 20tb</t>
  </si>
  <si>
    <t>BUDDHAT Calm Buddha Blend Tea 18tb</t>
  </si>
  <si>
    <t>BUDDHAT Nettle Tea 18tb</t>
  </si>
  <si>
    <t>BUDDHAT Sleepy Temple Tea 18tb</t>
  </si>
  <si>
    <t>CERES Night Time Tea 20tb</t>
  </si>
  <si>
    <t>ETS Chamomile Tea 20tb</t>
  </si>
  <si>
    <t>ETS English Breakfast Tea 20tb</t>
  </si>
  <si>
    <t>ETS Green Tea 20tb</t>
  </si>
  <si>
    <t>MINDFF Tummy Tea 90g</t>
  </si>
  <si>
    <t>MOT Decaf Green Tea 20tb</t>
  </si>
  <si>
    <t>ORGIN Fresh Chamomile Tea 25tb</t>
  </si>
  <si>
    <t>ORGIN Immuno Guard Tea 25tb</t>
  </si>
  <si>
    <t>ORGIN Tulsi Original Tea 25tb</t>
  </si>
  <si>
    <t>ORGIN Tulsi Peppermint Tea 25tb</t>
  </si>
  <si>
    <t>ORGIN Tulsi Sweet Rose Tea 25tb</t>
  </si>
  <si>
    <t>XOTEA American Peppermint Tea 25tb</t>
  </si>
  <si>
    <t>CERES Coconut Rolls Espresso 80g</t>
  </si>
  <si>
    <t>GIMME Roasted Seaweed Snack in Avocado Oil 6x4.5g</t>
  </si>
  <si>
    <t>GIMME Roasted Seaweed Snacks Grab &amp; Go Teriyaki 5x4g</t>
  </si>
  <si>
    <t>HSS Roasted Seaweed Snacks Wasabi 5g</t>
  </si>
  <si>
    <t>REALN Protein Edamame Pops Salt &amp; Vinegar 26g</t>
  </si>
  <si>
    <t>REALN Protein Edamame Pops Sea Salt 26g</t>
  </si>
  <si>
    <t>BISQUE Furikake Lupin Tempeh 250g</t>
  </si>
  <si>
    <t>BISQUE Tamari Lupin Tempeh 250g</t>
  </si>
  <si>
    <t>BOTCUIS Persian Style Macadamia Feta 325g</t>
  </si>
  <si>
    <t>COCOSOUL Organic Coconut Milk 1.25L</t>
  </si>
  <si>
    <t>COYO Coconut Yoghurt Natural 500g</t>
  </si>
  <si>
    <t>COYO Greek Coconut Yoghurt 500g</t>
  </si>
  <si>
    <t>COYO Greek Coconut Yoghurt 900g</t>
  </si>
  <si>
    <t>ES Silken Tofu 300g</t>
  </si>
  <si>
    <t>MADAME Tigernut Milk 1L</t>
  </si>
  <si>
    <t>NAKEDBY Vegan Mayo 435g</t>
  </si>
  <si>
    <t>OATLY Oat Milk Barista 1L</t>
  </si>
  <si>
    <t>PLV Activated Cashew Dill Cheese 280g</t>
  </si>
  <si>
    <t>VBEST Coconut Yoghurt Choc Mousse 500g</t>
  </si>
  <si>
    <t>Carrot Loose</t>
  </si>
  <si>
    <t>Cauliflower White</t>
  </si>
  <si>
    <t>C858574</t>
  </si>
  <si>
    <t>F+V =$1k</t>
  </si>
  <si>
    <t>Details for Sum of Net Sales - Category: Chocolate &amp; Coated Treats</t>
  </si>
  <si>
    <t>lolo 1.6k</t>
  </si>
  <si>
    <t>Details for Sum of Net Sales - Category: Ice Cream &amp; Desserts</t>
  </si>
  <si>
    <t>noni 400 naturis 200 mesy 100</t>
  </si>
  <si>
    <t>Details for Sum of Net Sales - Category: Personal Care</t>
  </si>
  <si>
    <t>Week ending 12/10/25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</si>
</sst>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6" formatCode="&quot;$&quot;#,##0_);[Red]\(&quot;$&quot;#,##0\)"/>
    <numFmt numFmtId="8" formatCode="&quot;$&quot;#,##0.00_);[Red]\(&quot;$&quot;#,##0.00\)"/>
    <numFmt numFmtId="43" formatCode="_(* #,##0.00_);_(* \(#,##0.00\);_(* &quot;-&quot;??_);_(@_)"/>
    <numFmt numFmtId="164" formatCode="_(* #,##0_);_(* \(#,##0\);_(* &quot;-&quot;??_);_(@_)"/>
    <numFmt numFmtId="165" formatCode="_(* #,##0.0_);_(* \(#,##0.0\);_(* &quot;-&quot;??_);_(@_)"/>
  </numFmts>
  <fonts count="21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2"/>
      <color rgb="FF006100"/>
      <name val="Aptos Narrow"/>
      <family val="2"/>
      <scheme val="minor"/>
    </font>
    <font>
      <sz val="12"/>
      <color rgb="FF9C0006"/>
      <name val="Aptos Narrow"/>
      <family val="2"/>
      <scheme val="minor"/>
    </font>
    <font>
      <sz val="12"/>
      <color rgb="FF9C5700"/>
      <name val="Aptos Narrow"/>
      <family val="2"/>
      <scheme val="minor"/>
    </font>
    <font>
      <sz val="12"/>
      <color rgb="FF3F3F76"/>
      <name val="Aptos Narrow"/>
      <family val="2"/>
      <scheme val="minor"/>
    </font>
    <font>
      <b/>
      <sz val="12"/>
      <color rgb="FF3F3F3F"/>
      <name val="Aptos Narrow"/>
      <family val="2"/>
      <scheme val="minor"/>
    </font>
    <font>
      <b/>
      <sz val="12"/>
      <color rgb="FFFA7D00"/>
      <name val="Aptos Narrow"/>
      <family val="2"/>
      <scheme val="minor"/>
    </font>
    <font>
      <sz val="12"/>
      <color rgb="FFFA7D00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sz val="12"/>
      <color rgb="FFFF0000"/>
      <name val="Aptos Narrow"/>
      <family val="2"/>
      <scheme val="minor"/>
    </font>
    <font>
      <i/>
      <sz val="12"/>
      <color rgb="FF7F7F7F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2"/>
      <color theme="0"/>
      <name val="Aptos Narrow"/>
      <family val="2"/>
      <scheme val="minor"/>
    </font>
    <font>
      <b/>
      <sz val="12"/>
      <color theme="1"/>
      <name val="Aptos Narrow"/>
      <scheme val="minor"/>
    </font>
    <font>
      <sz val="8"/>
      <color theme="1"/>
      <name val="Aptos Narrow"/>
      <family val="2"/>
      <scheme val="minor"/>
    </font>
    <font>
      <sz val="12"/>
      <color theme="1"/>
      <name val="Aptos Narrow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44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9">
    <xf numFmtId="0" fontId="0" fillId="0" borderId="0" xfId="0"/>
    <xf numFmtId="8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16" fillId="0" borderId="0" xfId="0" applyFont="1"/>
    <xf numFmtId="9" fontId="0" fillId="0" borderId="0" xfId="2" applyFont="1"/>
    <xf numFmtId="164" fontId="0" fillId="0" borderId="0" xfId="1" applyNumberFormat="1" applyFont="1"/>
    <xf numFmtId="164" fontId="18" fillId="0" borderId="0" xfId="1" applyNumberFormat="1" applyFont="1"/>
    <xf numFmtId="9" fontId="0" fillId="0" borderId="0" xfId="2" applyFont="1" applyAlignment="1">
      <alignment horizontal="center"/>
    </xf>
    <xf numFmtId="0" fontId="18" fillId="0" borderId="0" xfId="0" applyFont="1" applyAlignment="1">
      <alignment horizontal="left"/>
    </xf>
    <xf numFmtId="0" fontId="18" fillId="0" borderId="0" xfId="0" applyFont="1" applyAlignment="1">
      <alignment horizontal="center"/>
    </xf>
    <xf numFmtId="0" fontId="19" fillId="0" borderId="0" xfId="0" applyFont="1"/>
    <xf numFmtId="164" fontId="0" fillId="0" borderId="0" xfId="0" applyNumberFormat="1"/>
    <xf numFmtId="164" fontId="18" fillId="0" borderId="10" xfId="1" applyNumberFormat="1" applyFont="1" applyBorder="1"/>
    <xf numFmtId="6" fontId="0" fillId="0" borderId="0" xfId="0" applyNumberFormat="1"/>
    <xf numFmtId="165" fontId="20" fillId="0" borderId="0" xfId="1" applyNumberFormat="1" applyFont="1"/>
    <xf numFmtId="0" fontId="0" fillId="0" borderId="11" xfId="0" applyBorder="1" applyAlignment="1">
      <alignment horizontal="left"/>
    </xf>
    <xf numFmtId="164" fontId="0" fillId="0" borderId="11" xfId="0" applyNumberFormat="1" applyBorder="1"/>
    <xf numFmtId="165" fontId="20" fillId="0" borderId="0" xfId="2" applyNumberFormat="1" applyFont="1"/>
    <xf numFmtId="6" fontId="0" fillId="0" borderId="11" xfId="0" applyNumberFormat="1" applyBorder="1"/>
    <xf numFmtId="0" fontId="0" fillId="0" borderId="11" xfId="0" applyBorder="1" applyAlignment="1">
      <alignment horizontal="left" indent="1"/>
    </xf>
    <xf numFmtId="0" fontId="0" fillId="0" borderId="0" xfId="0" applyAlignment="1">
      <alignment horizontal="left" indent="1"/>
    </xf>
    <xf numFmtId="0" fontId="0" fillId="0" borderId="12" xfId="0" applyBorder="1" applyAlignment="1">
      <alignment horizontal="left" indent="1"/>
    </xf>
    <xf numFmtId="6" fontId="0" fillId="0" borderId="12" xfId="0" applyNumberFormat="1" applyBorder="1"/>
    <xf numFmtId="0" fontId="18" fillId="0" borderId="0" xfId="0" quotePrefix="1" applyFont="1"/>
    <xf numFmtId="0" fontId="19" fillId="0" borderId="0" xfId="0" quotePrefix="1" applyFont="1"/>
    <xf numFmtId="0" fontId="0" fillId="0" borderId="0" xfId="0" applyNumberFormat="1"/>
    <xf numFmtId="0" fontId="0" fillId="0" borderId="11" xfId="0" applyNumberFormat="1" applyBorder="1"/>
    <xf numFmtId="0" fontId="0" fillId="0" borderId="12" xfId="0" applyNumberFormat="1" applyBorder="1"/>
  </cellXfs>
  <cellStyles count="44">
    <cellStyle name="20% - Accent1" xfId="21" builtinId="30" customBuiltin="1"/>
    <cellStyle name="20% - Accent2" xfId="25" builtinId="34" customBuiltin="1"/>
    <cellStyle name="20% - Accent3" xfId="29" builtinId="38" customBuiltin="1"/>
    <cellStyle name="20% - Accent4" xfId="33" builtinId="42" customBuiltin="1"/>
    <cellStyle name="20% - Accent5" xfId="37" builtinId="46" customBuiltin="1"/>
    <cellStyle name="20% - Accent6" xfId="41" builtinId="50" customBuiltin="1"/>
    <cellStyle name="40% - Accent1" xfId="22" builtinId="31" customBuiltin="1"/>
    <cellStyle name="40% - Accent2" xfId="26" builtinId="35" customBuiltin="1"/>
    <cellStyle name="40% - Accent3" xfId="30" builtinId="39" customBuiltin="1"/>
    <cellStyle name="40% - Accent4" xfId="34" builtinId="43" customBuiltin="1"/>
    <cellStyle name="40% - Accent5" xfId="38" builtinId="47" customBuiltin="1"/>
    <cellStyle name="40% - Accent6" xfId="42" builtinId="51" customBuiltin="1"/>
    <cellStyle name="60% - Accent1" xfId="23" builtinId="32" customBuiltin="1"/>
    <cellStyle name="60% - Accent2" xfId="27" builtinId="36" customBuiltin="1"/>
    <cellStyle name="60% - Accent3" xfId="31" builtinId="40" customBuiltin="1"/>
    <cellStyle name="60% - Accent4" xfId="35" builtinId="44" customBuiltin="1"/>
    <cellStyle name="60% - Accent5" xfId="39" builtinId="48" customBuiltin="1"/>
    <cellStyle name="60% - Accent6" xfId="43" builtinId="52" customBuiltin="1"/>
    <cellStyle name="Accent1" xfId="20" builtinId="29" customBuiltin="1"/>
    <cellStyle name="Accent2" xfId="24" builtinId="33" customBuiltin="1"/>
    <cellStyle name="Accent3" xfId="28" builtinId="37" customBuiltin="1"/>
    <cellStyle name="Accent4" xfId="32" builtinId="41" customBuiltin="1"/>
    <cellStyle name="Accent5" xfId="36" builtinId="45" customBuiltin="1"/>
    <cellStyle name="Accent6" xfId="40" builtinId="49" customBuiltin="1"/>
    <cellStyle name="Bad" xfId="9" builtinId="27" customBuiltin="1"/>
    <cellStyle name="Calculation" xfId="13" builtinId="22" customBuiltin="1"/>
    <cellStyle name="Check Cell" xfId="15" builtinId="23" customBuiltin="1"/>
    <cellStyle name="Comma" xfId="1" builtinId="3"/>
    <cellStyle name="Explanatory Text" xfId="18" builtinId="53" customBuiltin="1"/>
    <cellStyle name="Good" xfId="8" builtinId="26" customBuiltin="1"/>
    <cellStyle name="Heading 1" xfId="4" builtinId="16" customBuiltin="1"/>
    <cellStyle name="Heading 2" xfId="5" builtinId="17" customBuiltin="1"/>
    <cellStyle name="Heading 3" xfId="6" builtinId="18" customBuiltin="1"/>
    <cellStyle name="Heading 4" xfId="7" builtinId="19" customBuiltin="1"/>
    <cellStyle name="Input" xfId="11" builtinId="20" customBuiltin="1"/>
    <cellStyle name="Linked Cell" xfId="14" builtinId="24" customBuiltin="1"/>
    <cellStyle name="Neutral" xfId="10" builtinId="28" customBuiltin="1"/>
    <cellStyle name="Normal" xfId="0" builtinId="0"/>
    <cellStyle name="Note" xfId="17" builtinId="10" customBuiltin="1"/>
    <cellStyle name="Output" xfId="12" builtinId="21" customBuiltin="1"/>
    <cellStyle name="Per cent" xfId="2" builtinId="5"/>
    <cellStyle name="Title" xfId="3" builtinId="15" customBuiltin="1"/>
    <cellStyle name="Total" xfId="19" builtinId="25" customBuiltin="1"/>
    <cellStyle name="Warning Text" xfId="16" builtinId="11" customBuiltin="1"/>
  </cellStyles>
  <dxfs count="22">
    <dxf>
      <border>
        <top style="thin">
          <color auto="1"/>
        </top>
        <bottom style="thin">
          <color auto="1"/>
        </bottom>
        <horizontal style="thin">
          <color auto="1"/>
        </horizontal>
      </border>
    </dxf>
    <dxf>
      <border>
        <top style="thin">
          <color auto="1"/>
        </top>
        <bottom style="thin">
          <color auto="1"/>
        </bottom>
        <horizontal style="thin">
          <color auto="1"/>
        </horizontal>
      </border>
    </dxf>
    <dxf>
      <border>
        <top style="thin">
          <color auto="1"/>
        </top>
        <bottom style="thin">
          <color auto="1"/>
        </bottom>
        <horizontal style="thin">
          <color auto="1"/>
        </horizontal>
      </border>
    </dxf>
    <dxf>
      <numFmt numFmtId="164" formatCode="_(* #,##0_);_(* \(#,##0\);_(* &quot;-&quot;??_);_(@_)"/>
    </dxf>
    <dxf>
      <numFmt numFmtId="164" formatCode="_(* #,##0_);_(* \(#,##0\);_(* &quot;-&quot;??_);_(@_)"/>
    </dxf>
    <dxf>
      <border>
        <bottom style="thin">
          <color indexed="64"/>
        </bottom>
      </border>
    </dxf>
    <dxf>
      <border>
        <top style="thin">
          <color auto="1"/>
        </top>
        <bottom style="thin">
          <color auto="1"/>
        </bottom>
        <horizontal style="thin">
          <color auto="1"/>
        </horizontal>
      </border>
    </dxf>
    <dxf>
      <border>
        <top style="thin">
          <color auto="1"/>
        </top>
        <bottom style="thin">
          <color auto="1"/>
        </bottom>
        <horizontal style="thin">
          <color auto="1"/>
        </horizontal>
      </border>
    </dxf>
    <dxf>
      <border>
        <top style="thin">
          <color auto="1"/>
        </top>
        <bottom style="thin">
          <color auto="1"/>
        </bottom>
        <horizontal style="thin">
          <color auto="1"/>
        </horizontal>
      </border>
    </dxf>
    <dxf>
      <border>
        <top style="thin">
          <color auto="1"/>
        </top>
        <bottom style="thin">
          <color auto="1"/>
        </bottom>
        <horizontal style="thin">
          <color auto="1"/>
        </horizontal>
      </border>
    </dxf>
    <dxf>
      <border>
        <top style="thin">
          <color auto="1"/>
        </top>
        <bottom style="thin">
          <color auto="1"/>
        </bottom>
        <horizontal style="thin">
          <color auto="1"/>
        </horizontal>
      </border>
    </dxf>
    <dxf>
      <border>
        <top style="thin">
          <color auto="1"/>
        </top>
        <bottom style="thin">
          <color auto="1"/>
        </bottom>
        <horizontal style="thin">
          <color auto="1"/>
        </horizontal>
      </border>
    </dxf>
    <dxf>
      <border>
        <top style="thin">
          <color auto="1"/>
        </top>
        <bottom style="thin">
          <color auto="1"/>
        </bottom>
        <horizontal style="thin">
          <color auto="1"/>
        </horizontal>
      </border>
    </dxf>
    <dxf>
      <border>
        <top style="thin">
          <color auto="1"/>
        </top>
        <bottom style="thin">
          <color auto="1"/>
        </bottom>
        <horizontal style="thin">
          <color auto="1"/>
        </horizontal>
      </border>
    </dxf>
    <dxf>
      <border>
        <top style="thin">
          <color auto="1"/>
        </top>
        <bottom style="thin">
          <color auto="1"/>
        </bottom>
        <horizontal style="thin">
          <color auto="1"/>
        </horizontal>
      </border>
    </dxf>
    <dxf>
      <border>
        <top style="thin">
          <color auto="1"/>
        </top>
        <bottom style="thin">
          <color auto="1"/>
        </bottom>
        <horizontal style="thin">
          <color auto="1"/>
        </horizontal>
      </border>
    </dxf>
    <dxf>
      <border>
        <top style="thin">
          <color auto="1"/>
        </top>
        <bottom style="thin">
          <color auto="1"/>
        </bottom>
        <horizontal style="thin">
          <color auto="1"/>
        </horizontal>
      </border>
    </dxf>
    <dxf>
      <border>
        <top style="thin">
          <color auto="1"/>
        </top>
        <bottom style="thin">
          <color auto="1"/>
        </bottom>
        <horizontal style="thin">
          <color auto="1"/>
        </horizontal>
      </border>
    </dxf>
    <dxf>
      <border>
        <top style="thin">
          <color auto="1"/>
        </top>
        <bottom style="thin">
          <color auto="1"/>
        </bottom>
        <horizontal style="thin">
          <color auto="1"/>
        </horizontal>
      </border>
    </dxf>
    <dxf>
      <border>
        <top style="thin">
          <color auto="1"/>
        </top>
        <bottom style="thin">
          <color auto="1"/>
        </bottom>
        <horizontal style="thin">
          <color auto="1"/>
        </horizontal>
      </border>
    </dxf>
    <dxf>
      <border>
        <top style="thin">
          <color auto="1"/>
        </top>
        <bottom style="thin">
          <color auto="1"/>
        </bottom>
        <horizontal style="thin">
          <color auto="1"/>
        </horizontal>
      </border>
    </dxf>
    <dxf>
      <border>
        <top style="thin">
          <color auto="1"/>
        </top>
        <bottom style="thin">
          <color auto="1"/>
        </bottom>
        <horizontal style="thin">
          <color auto="1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phe Denoux" refreshedDate="45942.788991203706" createdVersion="8" refreshedVersion="8" minRefreshableVersion="3" recordCount="1330" xr:uid="{9C64771A-BF44-C149-AF0E-0962D928C9DC}">
  <cacheSource type="worksheet">
    <worksheetSource ref="A1:M2000" sheet="item-sales-summary-2025-06-02-2"/>
  </cacheSource>
  <cacheFields count="13">
    <cacheField name="Item Name" numFmtId="0">
      <sharedItems containsBlank="1" count="2306">
        <s v="Jenny's Tea"/>
        <s v="Open item"/>
        <s v="BUBS Baby Food Banana Apricot Power Porridge 120g"/>
        <s v="BUBS Baby Food Mango Peach Banana 120g"/>
        <s v="BUBS Baby Food Strawberry Pear Quinoa 120g"/>
        <s v="BUBS Baby Food Sweetcorn Pumpkin Chia 120g"/>
        <s v="CLEANL Plastic Free Newborns Baby Wipes 80u"/>
        <s v="HARVESTERS Chickpeas Flax &amp; Pumpkin 120g"/>
        <s v="HARVESTERS Free-Range Chicken &amp; Zucchini 120g"/>
        <s v="HARVESTERS Grass-Fed Beef &amp; Peas 120g"/>
        <s v="HARVESTERS Pumpkin Carrot &amp; Kale 120g"/>
        <s v="HOLLE Banana &amp; Berries with Oats &amp; Quinoa 110g"/>
        <s v="HOLLE Millet Mango Crunchy Snack 25g"/>
        <s v="ISAACS Cacao-Conuts Snack Bar 50g"/>
        <s v="ISAACS Chia Ful Oat Cluster 4 x 30g"/>
        <s v="LITTLEO Goat Milk Formula Stage 1 6 x 300g"/>
        <s v="LITTLEO Goat Milk Formula Stage 2 800g"/>
        <s v="MOGLI Cheese &amp; Olive Oil Pizza Sticks 75g"/>
        <s v="OGO Quinitos Coconut Honey Snack Quinoa Rice 70g"/>
        <s v="ANCHARV Paleo Flaxseed Wraps 200g"/>
        <s v="BIONA Rye Bread Sprouted Seeds 500g"/>
        <s v="BIONA Rye Omega Golden Linseed Bread 500g"/>
        <s v="BIONA Rye¬†Bread¬†Amaranth¬†Quinoa¬†500g"/>
        <s v="CSCARN Crumpets 6pck"/>
        <s v="DIEGOS Sourdough Wraps 320g"/>
        <s v="FARRO Spelt Pizza Base 10in"/>
        <s v="GFPRECIENCT GF Pizza Base 380g"/>
        <s v="GFPRECINCT GF Buckwheat &amp; Chia Wrap 260g"/>
        <s v="GFPRECINCT Sprouted Loaf 650g"/>
        <s v="LATORTI Corn Tortillas 8 x 220g"/>
        <s v="LATORTI Corn Tortillas x 15 330g"/>
        <s v="MESSY Original 680g"/>
        <s v="MESSY Sweet Potato &amp; Chilli 720g"/>
        <s v="MESSY Zucchini &amp; Fennel 720g"/>
        <s v="MESTEM High Protein Low Carb Bread 250g"/>
        <s v="NATURIS Bread Buckwheat GF 680g"/>
        <s v="NATURIS Bread Corn GF 680g"/>
        <s v="NATURIS Bread Light Rye 680g"/>
        <s v="NATURIS Bread Organic Spelt 680g"/>
        <s v="NATURIS Bread Rice Loaf GF 680g"/>
        <s v="NATURIS Fruit and Nut Loaf 680g"/>
        <s v="NATURIS Grain Free GF Bread 680g"/>
        <s v="NATURIS LF GF Teff Bread 680g"/>
        <s v="NONIES GF Activated Charcoal and Quinoa Bread 550g"/>
        <s v="NONIES GF Fig &amp; Almond Bread 550g"/>
        <s v="NONIES GF Light Golden Bread 1.1Kg"/>
        <s v="NONIES GF Pita Bread 420g"/>
        <s v="NONIES GF Seedy Brown Bread 1.1Kg"/>
        <s v="NONIES GF Seedy Brown Bread 550g"/>
        <s v="NUCO Coconut Wraps 70g 5 Pack"/>
        <s v="PURELIF Sprouted Bread Essene Ezekiel 4:9 1.1kg"/>
        <s v="WATERS Yellow Corn Taco Shells 156g"/>
        <s v="*PALEOH Primal Choc Granola 750g"/>
        <s v="BOBSRED Creamy Buckwheat 510g"/>
        <s v="BOBSREDM ORG Quick Cooking Oats 454g"/>
        <s v="BOBSREDM ORG Rolled Oats 907g"/>
        <s v="CERES Amaranth Puffs 150g"/>
        <s v="CHEFSCH Bircher Muesli Vanilla 500g"/>
        <s v="FARMERJO GF Paleo Granola 300g"/>
        <s v="FOURLF Rolled Oats Original 800g"/>
        <s v="FTN GF Muesli Apple Cinnamon 400g"/>
        <s v="GOODMC Brown Rice Puff 175g"/>
        <s v="GOODMIX Blend 13 Paleo Mix 400g"/>
        <s v="MINDFF Chocolate Buckies 350g"/>
        <s v="MINDFF Clusters Chocolate Davidson Plum 200g"/>
        <s v="MINDFF Clusters Chocolate Davidson Plum 350g"/>
        <s v="MINDFF Granola Brain Power Cacao 450g"/>
        <s v="MINDFF Granola Eros Love &amp; Vitallity 400g"/>
        <s v="NATPATH Corn Puffs Envirokidz Gorilla Munch 284g"/>
        <s v="NATPATH Envirokidz Chocolate Koala Crisp 325g"/>
        <s v="BESTBON Bone Broth Concentrate 390g"/>
        <s v="BESTBON Bone Broth Concentrate Miso 390g"/>
        <s v="BRNBYBB Beef Bone Broth 1L"/>
        <s v="BRNBYBB Beef Bone Broth 500 mL"/>
        <s v="BRNBYBB Chicken Bone Broth 1L"/>
        <s v="BRNBYBB Chicken Bone Broth 500 mL"/>
        <s v="CHERRYT Beef Bone Broth 500ml"/>
        <s v="CHERRYT Chicken Bone Broth 500ml"/>
        <s v="GEVITY Bone Broth Natural 390g"/>
        <s v="TSM Concentrate Collagen Enriched Broth 275g"/>
        <s v="TSM Ginger &amp; Turmeric Concentrate Beef Broth 275g"/>
        <s v="UNFCO Chicken Broth 500ml"/>
        <s v="URBANF Chicken Stock 250g"/>
        <s v="MINDFF Cacao Powder 200g"/>
        <s v="SOLGOLD Dark Chocolate Baking Swirls 58%  150g"/>
        <s v="Coffee"/>
        <s v="Iced"/>
        <s v="Juice Detox Large"/>
        <s v="Juice Immunity Large"/>
        <s v="Other Hot Drinks"/>
        <s v="Tea"/>
        <s v="AO Licorice 200g"/>
        <s v="COMVITA Manuka Honey Pop 15pc"/>
        <s v="FUNDAY Fruity Gummy Snakes 50g"/>
        <s v="FUNDAY Lollipops 8g"/>
        <s v="FUNDAY Raspberry Gummy Frogs 50g"/>
        <s v="FUNDAY Share Bag Lollipops 88g"/>
        <s v="FUNDAY Sour Gummy Cola Bottles 50g"/>
        <s v="FUNDAY Vegan Sour Gummy Bears 50g"/>
        <s v="GLEE Gum Sugar Free Watermelon 16u"/>
        <s v="Koochikoo No Sugar Lollipops Mixed Flavours 60g"/>
        <s v="PUR Bubble Chewing Gum 12.6g"/>
        <s v="PUR Cinnamon Mints 30g"/>
        <s v="PUR Peppermint Mints 30g"/>
        <s v="PUR Pomegranate Mint Chewing Gum 77g"/>
        <s v="TGP Original Chewy Candy Box 84g"/>
        <s v="TGUMMIES Green Goodness 120g"/>
        <s v="TGUMMIES Mango Coconut 120g"/>
        <s v="TGUMMIES Mixed Berries 120g"/>
        <s v="TGUMMIES Passionfruit Mango 120g"/>
        <s v="TRUEG Mints Cherry 13g"/>
        <s v="TRUEG Peach Mints 13g"/>
        <s v="TRUEG White Peppermint Chewing Gum 16u"/>
        <s v="VALLI Blueberry Koala Bear 50g"/>
        <s v="VALLI Raspberry Hearts 50g"/>
        <s v="VALLI Sour Cola Bottle 50g"/>
        <s v="YUMEART Gummy Bears 19.8g"/>
        <s v="BITEME Zucchini Fritters 270g"/>
        <s v="BOULDER Potato Chips Olive Oil 142g"/>
        <s v="BOULDER Potato Chips Sea Salt 142g"/>
        <s v="BOULDER Potato Chips with Avo Oil 149g"/>
        <s v="DONACH Avo Oil White Corn Totopos 170g"/>
        <s v="DONACH Chipotle Corn Totopos 170g"/>
        <s v="JACKSON Sweet Potato Chips Carolina BBQ 142g"/>
        <s v="JACKSON Sweet Potato Chips Sea Salt 142g"/>
        <s v="JACKSON Sweet Potato Chips Spicy Jalapeno 142g"/>
        <s v="LATORTI Tortilla Blue Chips (Totopos) 200g"/>
        <s v="LATORTI Tortilla Chips (Totopos) 200g"/>
        <s v="PROPERC Sweet Potato Chips 100g"/>
        <s v="PROPERC Tortilla Chips Chilli &amp; Lime 150g"/>
        <s v="SERIOUSF Popcorn Multipack Sea Salt 120g"/>
        <s v="SERIOUSF Popcorn Real Butter 70g"/>
        <s v="SERIOUSF Popcorn Sea Salt 12g"/>
        <s v="SERIOUSF Popcorn Sweet &amp; Salty 12g"/>
        <s v="SUNSEEK Beef Tallow Potato Chips 140g"/>
        <s v="SUNSEEK EVOO Potato Chips 140g"/>
        <s v="ALTEREC Choc Bar Blackout¬†85% 80g"/>
        <s v="ALTEREC Choc Bar Dark Salted Burnt Caramel 80g"/>
        <s v="ALTEREC Choc Bar Dark¬†Mint¬†90%¬†80g"/>
        <s v="ALTEREC Choc Bar Salted Brown Butter 75g"/>
        <s v="ALTEREC Choc Bar Super Blackout 90% 75g"/>
        <s v="ALTEREC Choc Bar Total Blackout 75g"/>
        <s v="ALTEREC Dark Choc Sea Salt 80g"/>
        <s v="BANJO Bears Coconut 15g"/>
        <s v="BANJO Bears Mint 15g"/>
        <s v="BANJO Carob Sultanas 20g"/>
        <s v="BENNETT Choc Bar Raspberry 80g"/>
        <s v="BENNETT Choc Bar Salted Caramel 100g"/>
        <s v="BENNETT Choc Bar Toasted Hazelnut 80g"/>
        <s v="CAROBKI Carob Bar Almond 80g"/>
        <s v="CAROBKI Carob Coated Almonds 100g"/>
        <s v="CAROBKI Carob Coated Sultanas 100g"/>
        <s v="CAROKIT Banjo Bear Milk 8 Pack 120g"/>
        <s v="LOLO 5 Hazelnut Butter Praline"/>
        <s v="LOLO 5 Pack Butter Caramel Pecan"/>
        <s v="LOLO 5 Pack Classic Chewy Caramel"/>
        <s v="LOLO 5 Pack Peanut Butter Caramel"/>
        <s v="LOLO Black Cherry Raspberry 30g"/>
        <s v="LOLO Butter Caramel Pecan 30g"/>
        <s v="LOLO Classic Chewy Caramel 30g"/>
        <s v="LOLO Coconut Cashew Choc 30g"/>
        <s v="LOLO Dark Chocolate Drops"/>
        <s v="LOLO Dark Peppermint Creme 30g"/>
        <s v="LOLO Hazelnut Praline 30g"/>
        <s v="LOLO Mylk Chocolate Drops"/>
        <s v="LOLO Orange &amp; Almond Truffle 30g"/>
        <s v="LOLO Peanut Butter Caramel 30g"/>
        <s v="LOLO Twin Pack Almond Caramel Crunch"/>
        <s v="LOLO Twin Pack Black Cherry &amp; Raspberry"/>
        <s v="LOLO Twin Pack Butter Caramel Pecan"/>
        <s v="LOLO Twin Pack Classic Chewy Caramel"/>
        <s v="LOLO Twin Pack Coconut Cashew"/>
        <s v="LOLO Twin Pack Dark Peppermint Creme"/>
        <s v="LOLO Twin Pack Hazelnut Praline"/>
        <s v="LOLO Twin Pack Orange &amp; Almond Truffle"/>
        <s v="LOLO Twin Pack Peanut Butter Caramel"/>
        <s v="LOLO Twin Pack Wild Rose Ganache"/>
        <s v="LOLO Wild Rose Ganache 30g"/>
        <s v="MAMO Peppermint Buckwheat Crisp Carob Bar 90g"/>
        <s v="MONSIEURT 70% Dark Choc Bar 80g"/>
        <s v="MONSIEURT Caramel Vanilla 30% White Choc Bar 80g"/>
        <s v="ORTIMES Dark Chocolate Almonds 150g"/>
        <s v="ORTIMES Dark Chocolate Ginger 150g"/>
        <s v="ORTIMES Milk Chocolate Almonds 150g"/>
        <s v="TONYSC Milk Caramel Sea Salt Choc Bar 180g"/>
        <s v="TONYSC Milk Caramel Sea Salt Choc Bar 47g"/>
        <s v="BARLEYC Instant Barley Beverage 100g"/>
        <s v="BBCC Whole Bean Coffee 250g"/>
        <s v="BONVIT Tea Roasted Dandelion Medium 150g"/>
        <s v="BYS Collagen Coffee Mocha 6.5g"/>
        <s v="BYS Collagen Coffee Original 6.5g"/>
        <s v="BYS Collagen Coffee Unsweetened 6.5g"/>
        <s v="EVEW Latte Functional Mushroom 124g"/>
        <s v="GOLDFLD Dandelion Granules 175g"/>
        <s v="DELFILS Org Dijon Mustard 200g"/>
        <s v="DRUNSJ Smokey Tomato Relish 295g"/>
        <s v="SPIRAL Tomato Sauce 300g"/>
        <s v="SPIRAL Wholegrain Mustard 200g"/>
        <s v="UFC Chili Mayo 280g"/>
        <s v="UFC Mayo 280g"/>
        <s v="UFC Tomato Ketchup 270g"/>
        <s v="FOF Orange &amp; Almond Cookies 160g"/>
        <s v="FOF Raw Cacao &amp; Hazelnut Cookies 160g"/>
        <s v="KEA GF Lemon Coconut Cookies 250g"/>
        <s v="OATZILLA Gingerbread 30g"/>
        <s v="CERES Brown Rice Cakes Original 110g"/>
        <s v="CERES Crispy Rice Sea Salt Crackers 100g"/>
        <s v="CERES No Salt Brown Rice Cakes 110g"/>
        <s v="CERES Rice Bites Original 100g"/>
        <s v="CERES Tamari Brown Rice Cakes 110g"/>
        <s v="CURCAUL Cauli Crackers 70g"/>
        <s v="CURCAUL Rosemary &amp; Garlic Cauli Crackers 80g"/>
        <s v="FINEFET Chipotle Toasties 110g"/>
        <s v="FINEFET Chive Toasties 110g"/>
        <s v="LBO Almond Crackers Sea Salt &amp; Thyme 100g"/>
        <s v="LOKA Italian Cheese &amp; Herb Crackers 120g"/>
        <s v="MARYSGC Crackers Herb 184g"/>
        <s v="MARYSGC Crackers Original 184g"/>
        <s v="OLIVERL Beetroot Pomegranate Fennel Crispbread 125g"/>
        <s v="OLIVERL Buckwheat Caraway Crispbread 125g"/>
        <s v="PATS Sweet Potato Crackers 100g"/>
        <s v="PUREHAR Quinoa &amp; Rice Cakes 150g"/>
        <s v="PUREHAR Rice Cakes Original 150g"/>
        <s v="SPIRAL Nori Seaweed Rice Crackers 50g"/>
        <s v="SPIRAL Tamari Crackers 65g"/>
        <s v="SPIRAL White Sesame Rice Crackers 75g"/>
        <s v="BARAMBA Cheddar Block 250g"/>
        <s v="BARAMBA Cheddar Shredded 250g"/>
        <s v="BARAMBA Cheddar Sliced 210g"/>
        <s v="BLUEBAY Goat Haloumi 200g"/>
        <s v="BLUEBAY Goat Kefir 1L"/>
        <s v="LBD Full Cream Milk 2L"/>
        <s v="LBD Less Cream Milk 2L"/>
        <s v="MAYERS Parmigiano Reggiano 150g"/>
        <s v="MBC Cold Pressed Jersey Milk 1.5L"/>
        <s v="MEREDIT Goat Cheese Chevre 150g"/>
        <s v="MEREDIT Goat Milk Yoghurt Probiotic 500g"/>
        <s v="MEREDIT Goat's Cheese in Olive Oil 320g"/>
        <s v="MEREDIT Sheep Milk Yoghurt 500g"/>
        <s v="MEREDIT Traditional Greek Sheep Yoghurt 500g"/>
        <s v="MUNGALL Cracked Pepper Cheese 200g"/>
        <s v="MUNGALL Greek Yoghurt  375g"/>
        <s v="MUNGALL Greek Yoghurt 800g"/>
        <s v="MUNGALL Greek Yoghurt Berry Bliss 375g"/>
        <s v="MUNGALL High Protein Yoghurt 1kg"/>
        <s v="MUNGALL Ricotta 325g"/>
        <s v="MUNGALL Strawberry Greek Yoghurt 375g"/>
        <s v="MUNGALL Yoghurt Natural 500g"/>
        <s v="ORTIMES Butter Unsalted 250g"/>
        <s v="ORTIMES Salted Butter 250g"/>
        <s v="PARISC Full Cream Yoghurt 500g"/>
        <s v="PEPESAY ORG Ghee 190g"/>
        <s v="SACREDC Ghee 270ml"/>
        <s v="SACREDC Ghee 660ml"/>
        <s v="SCHULZ Milk Full Cream Unhomogenised 1L"/>
        <s v="SCHULZ Milk Full Cream Unhomogenised 2L"/>
        <s v="SCHULZ Natural Greek Yogurt 500g"/>
        <s v="SCHULZ Organic Natural Yogurt 500g"/>
        <s v="SCHULZ Organic Quark 365g"/>
        <s v="SYMONS Cheddar 200g"/>
        <s v="SYMONS Double Brie 200g"/>
        <s v="SYMONS Haloumi 200g"/>
        <s v="SYMONS Parmesan 150g"/>
        <s v="SYMONS Salted Butter 250g"/>
        <s v="SYMONS Shaved Parmesan 140g"/>
        <s v="Saint David Cultured Butter Salted 190g"/>
        <s v="Swiss Gruyere Cheese"/>
        <s v="BBO Sweet Garlic 210g"/>
        <s v="BOTCUIS Dip Caramelised Beetroot 325g"/>
        <s v="GAMZE Leg ham 150g"/>
        <s v="GAMZE Middle Bacon 150g"/>
        <s v="GAMZE Smoked Turkey Breast 150g"/>
        <s v="GAMZE Streaky Bacon 150g"/>
        <s v="HAFLA Hummus 200g"/>
        <s v="HAFLA Hummus 350g"/>
        <s v="MURRAYR Free Range Ham Slices 180g"/>
        <s v="MURRAYR Free Range Turkey Slices 150g"/>
        <s v="OINDUL Beetroot Dip 200g"/>
        <s v="REGAL New Zealand King Salmon Smoked 100g"/>
        <s v="THUMBLE Hummus 200g"/>
        <s v="THUMBLE Hummus 370g"/>
        <s v="THUMBLE Hummus 900g"/>
        <s v="THUMBLE Vegan Pesto 200g"/>
        <s v="CARBOORH Australian Dry Roasted Hazelnuts 125g"/>
        <s v="CARBOORH Australian Dry Roasted Pistachios 125g"/>
        <s v="CARBOORH Australian Pecans 125g"/>
        <s v="CARBOORH Raw Walnuts 125g"/>
        <s v="DRSUPER Dried Goji Berries 250g"/>
        <s v="DRSUPER Dried Strawberry 125g"/>
        <s v="DRSUPER Dried Wild Blueberries 125g"/>
        <s v="HANDHOE Macadamias Dry Roasted Salted 200g"/>
        <s v="HANDHOE Macadamias Unsalted Kernel 250g"/>
        <s v="HANDHOE Macadamias Unsalted Kernel 500g"/>
        <s v="HB Mixed Nuts 45g"/>
        <s v="HILTONA Prunes Pre Packs 250g"/>
        <s v="HTG ABC Raw Nut Mix 200g"/>
        <s v="HTG Brown Linseeds 200g"/>
        <s v="HTG Coconut Cream 400ml"/>
        <s v="HTG Coconut Milk 400ml"/>
        <s v="HTG Coconut Shredded 125g"/>
        <s v="HTG Cranberry &amp; Dark Chocolate Trail Mix 200g"/>
        <s v="HTG Diced Bare Ginger 300g"/>
        <s v="HTG Dried Bananas 200g"/>
        <s v="HTG Dried Currants 500g"/>
        <s v="HTG Dried Pineapple Rings 100g"/>
        <s v="HTG Insecticide Free Almonds 200g"/>
        <s v="HTG Pepitas 200g"/>
        <s v="HTG Pine Nuts 100g"/>
        <s v="HTG Raw Cashews 1kg"/>
        <s v="HTG Sunflower Seeds 200g"/>
        <s v="HTG Walnuts 175g"/>
        <s v="HTG¬†Dried¬†Apricots¬†200g"/>
        <s v="LBO Activated Salty Seaweed Almonds 120g"/>
        <s v="LIVEW Activated Almonds 120g"/>
        <s v="LIVEW Activated Almonds 300g"/>
        <s v="LIVEW Activated Mixed Nuts 120g"/>
        <s v="LIVEW Activated Pecans 300g"/>
        <s v="LIVEW Activated Walnuts 300g"/>
        <s v="MAREEBA Australian Dried Banana 85g"/>
        <s v="MINDFF Activated Almonds 250g"/>
        <s v="MINDFF Activated Brazil Nuts 325g"/>
        <s v="MINDFF Activated Cashews 260g"/>
        <s v="MINDFF Activated Mixed Nuts 110g"/>
        <s v="MINDFF Activated Pecans 90g"/>
        <s v="MINDFF Activated Pepitas 300g"/>
        <s v="MINDFF Maple Munchies 100g"/>
        <s v="MINDFF Munchies Teriyaki 90g"/>
        <s v="MINDFF Tamari Almonds 300g"/>
        <s v="ORG Dates Medjoul 250g"/>
        <s v="ORG Medjool Dates 1Kg"/>
        <s v="POWERSF Goji Berries 125g"/>
        <s v="RVF Medjool Dates 450g"/>
        <s v="SPIRAL Coconut Milk 400ml"/>
        <s v="SULTANAG Vine Dried Sultanas 300g"/>
        <s v="YAVA Chili Lime Cashews 35g"/>
        <s v="YAVA Roasted Cashews 35g"/>
        <s v="YAVA Sea Salt Cashews 35g"/>
        <s v="YAVA Sweet &amp; Spicy Cashews 35g"/>
        <s v="ATHEALTH Before Bedtime Dreamy Hot Choc Powder 250g"/>
        <s v="CCACAO 100% Ceremonial Cacao Pieces 1Kg"/>
        <s v="CCACAO 100% Ceremonial Cacao Pieces 50g"/>
        <s v="MOTHERL Coffee with Collagen 15sc"/>
        <s v="MOTHERL Decaf Coffee with Collagen 15sc"/>
        <s v="MOTHERL Hot Chocolate with Collagen 15sc"/>
        <s v="MOTHERL Matcha with Collagen 15sc"/>
        <s v="POWERSF Cacao Gold Paste Ceremonial Cacao 225g"/>
        <s v="TRUE Rich Hot Chocolate 200g"/>
        <s v="*CHIAS Berry Chia Smoothie 200ml"/>
        <s v="*KARMA Karma Cola 300ml"/>
        <s v="ALKAP Alkaline Water 1.5L"/>
        <s v="ALKAP Alkaline Water 600ml"/>
        <s v="ALOEAUS Aloe Juice Natural 1L"/>
        <s v="ANTIPOD Sparkling Water 1L"/>
        <s v="ANTIPOD Sparkling Water 500ml"/>
        <s v="ANTIPOD Still Water 500ml"/>
        <s v="BELOKA Water Sparkling 500ml"/>
        <s v="BLUME Lemon Yuzu Ginger Prebiotic Drink 375ml"/>
        <s v="BLUME Mango Prebiotic Drink 375ml"/>
        <s v="BLUME Raspberry &amp; Lime Prebiotic Drink 375ml"/>
        <s v="BONSOY Sparkling Coconut Water Ginger 320ml"/>
        <s v="BONSOY Sparkling Coconut Water Lychee 320ml"/>
        <s v="BONSOY Sparkling Coconut Water Passionfruit 320ml"/>
        <s v="BONSOY Sparkling Coconut Water Watermelon 320ml"/>
        <s v="CHIAS Berry Smoothie Immunity Tonic 350ml"/>
        <s v="DAYSE Non-Alcoholic Grapefruit Spritz 330ml"/>
        <s v="Dearsan Matcha Coconut Water 250ml"/>
        <s v="EORCHARD Pure Blueberry Juice 750ml"/>
        <s v="GOODH Berry Schisandra Kombucha 330ml"/>
        <s v="GOODH Cacao Vanilla Kombucha 330ml"/>
        <s v="GOODH Ginger Turmeric Kombucha 330ml"/>
        <s v="GOODH Lemon Myrtle Kombucha 330ml"/>
        <s v="HOPR Citra &amp; Amarillo Hops One 375ml"/>
        <s v="HOPR The Passionfruit One 375ml"/>
        <s v="HOPR The Sabro One 375ml"/>
        <s v="JIVA Defender Tonic 100ml"/>
        <s v="JIVA Tonics Glow 100ml"/>
        <s v="KARMA Karma Cola 300 ml"/>
        <s v="KOMBREW Ginger Turmeric Kombucha 750ml"/>
        <s v="KOMBREW Jasmine Green Tea Kombucha 750ml"/>
        <s v="KOMBREW Raspberry Blossom Kombucha 750ml"/>
        <s v="LUNAE Sparkling Cactus Water 330ml"/>
        <s v="LUNAE Sparkling Water Aloe 330ml"/>
        <s v="MATEO Yerba Mate Soda 330ml"/>
        <s v="MELLOW Peach &amp; Ginger Sparkling Water 330ml"/>
        <s v="MELLOW Pineapple Lime Sparkling Water 330ml"/>
        <s v="MELLOW Raspberry Lemon Sparkling Water 330ml"/>
        <s v="MELLOW Watermelon Lychee Sparkling Water 330ml"/>
        <s v="MISCHIEF Cola 250ml"/>
        <s v="MISCHIEF Ginger Ale 250ml"/>
        <s v="MISCHIEF Non-Alcoholic Sparkling Aperitivo 250ml"/>
        <s v="MTW Wild Blueberry Juice 500ml"/>
        <s v="OH Lemonaid Lemon Strawberry Splash"/>
        <s v="OKBOOCHA Zero Sugar Watermelon Sparkling Water 375ml"/>
        <s v="RAW Coconut Water 2L"/>
        <s v="SECRETS Aquapheir Sparkling Water 750ml"/>
        <s v="SIMJUI Hemp Power Superfood Prebiotic Juice 325ml"/>
        <s v="SIMJUI Orange Juice 325ml"/>
        <s v="SIMJUI Passion Hit Superfood Prebiotic Juice 325ml"/>
        <s v="SIMJUI Radiance Superfood Prebiotic Juice 325ml"/>
        <s v="SIMPLEO Ginger Beer 330ml"/>
        <s v="SIMPLEO Vintage Cola 330ml"/>
        <s v="SIPCOC Coconut Water 1l"/>
        <s v="SIPCOC Ginger Coconut Water 330ml"/>
        <s v="SIPCOC Lychee Coconut Water 330ml"/>
        <s v="SIPCOC Passionfruit Coconut Water 330ml"/>
        <s v="SIPCOC Watermelon Coconut Water 330ml"/>
        <s v="SUUNYC Sparkling Water 375ml"/>
        <s v="TGP Ginger Shot Lemon &amp; Cayenne 60ml"/>
        <s v="TGP Ginger Wild Turmeric Shot 60ml"/>
        <s v="TIPCO Coconut Water 1L"/>
        <s v="TWRDS Lion's Mane Infused Cold Brew 250ml"/>
        <s v="UTHRIVE Desert Lime Hydration Drink 330ml"/>
        <s v="UTHRIVE Passionfruit Hydration Drink 330ml"/>
        <s v="YUVO Calming Lavender Sparkling Water 250ml"/>
        <s v="YUVO Detox Lemon Sparkling Water 250ml"/>
        <s v="BUSHD ORG Free Range Dozen Eggs 700g"/>
        <s v="ELLEFARM ORG Free Range Dozen Eggs 700g"/>
        <s v="FBROWNS Eggs Dozen 700g"/>
        <s v="LAKEM Pastured Eggs Dozen 700g"/>
        <s v="MEGGLES Dozen Eggs 700g"/>
        <s v="PADDOCK Dozen Eggs 700g"/>
        <s v="BEVS Peanut Butter Crunch Baked Slice 60g"/>
        <s v="BLUEDIN Paleo Bar Banana Bread 45g"/>
        <s v="BLUEDIN Paleo Bar Cacao Mint 45g"/>
        <s v="CHEEKI Biltong Chili 70g"/>
        <s v="CHEEKI Biltong Garlic 70g"/>
        <s v="CHEEKI Biltong Original 70g"/>
        <s v="CHIEF Beef &amp; Chilli Brisket Bar 40g"/>
        <s v="CHIEF Cashew Shortbread Collagen Protein Bar 45g"/>
        <s v="CHIEF Chipotle &amp; Lime Beef Brisket Bar 40g"/>
        <s v="CHIEF Choc Coated Mint Collagen Bar 45g"/>
        <s v="CHIEF Choc Coated Peanut Butter Collagen Bar 45g"/>
        <s v="CHIEF Double Choc Coated Collagen Bar 45g"/>
        <s v="CHIEF Grass Fed Traditional Biltong 30g"/>
        <s v="CHIEF Hazelnut Brownie Collagen Protein Bar 45g"/>
        <s v="CHIEF Traditional Beef Brisket Bar 40g"/>
        <s v="FOODTN Protein Cookie Choc peanut 60g"/>
        <s v="FTN Bliss Bar Choc Peanut 40g"/>
        <s v="FTN Bliss Bar Double Choc 40g"/>
        <s v="FTN Bliss Bar Luscious Lemon 40g"/>
        <s v="FTN Bliss Bar White Choc Cran 40g"/>
        <s v="FTN Protein Cookie Choc Chip 60g"/>
        <s v="FTN Protein Cookie Double Choc 60g"/>
        <s v="FTN Protein Cookie Lemon Shortbread 60g"/>
        <s v="FTN Protein Cookie White Choc 60g"/>
        <s v="KOOEE Sea Salt Beef Stick 25g"/>
        <s v="KOOEE Spicy Beef Stick 25g"/>
        <s v="LOCAKO Protein Brownie Ball Peanut Butter Jelly 30g"/>
        <s v="MAXD Wellness Square Cinnamon Donut 40g"/>
        <s v="RDPB Made Good Macro Bar 80g"/>
        <s v="SEEDW Cacao &amp; Coconut Energy Bar 90g"/>
        <s v="SEEDW Hemp &amp; Peanut Salted Caramel Bar 90g"/>
        <s v="SEEDW Hemp Cranberry White Choc Bar 90g"/>
        <s v="SPB Apricot Coconut Protein Bar 60g"/>
        <s v="SPB Banana Bread Protein Bar 60g"/>
        <s v="SPB Blueberry Muffin Protein Bar 60g"/>
        <s v="SPB Caramel Honey Macadamia Protein Bar 60g"/>
        <s v="SPB Choc Chip Cookie Dough Protein Bar 60g"/>
        <s v="SPB Chocolate Chip Protein Bar 60g"/>
        <s v="SPB Latte Protein Bar 60g"/>
        <s v="SPB Mango Cream Protein Bar 60g"/>
        <s v="SPB Peanut Butter &amp; Jelly Flavour Protein Bar 60g"/>
        <s v="SPB Peanut Choc Caramel Protein Bar 60g"/>
        <s v="SPB Raphaello Flavour Protein Bar 60g"/>
        <s v="SPB Vanilla Nougat Protein Bar 60g"/>
        <s v="THANKSD Caramel Pecan Bar 40g"/>
        <s v="THANKSD Caramel Pecan Bar Pack 200g"/>
        <s v="THANKSD Dark Choc &amp; Berry Bar 40g"/>
        <s v="THANKSD Dark Choc &amp; Berry Bar Pack 200g"/>
        <s v="THANKSD Dark Choc &amp; Hazel Bar 40g"/>
        <s v="THANKSD Dark Choc &amp; Hazel Bar Pack 200g"/>
        <s v="THANKSD Lemon &amp; Maca Bar Pack 200g"/>
        <s v="THANKSD Roasted Almond &amp; Cinnamon Bar Pack 200g"/>
        <s v="TRUE Choc Mint Protein Bar 63g"/>
        <s v="TRUE Choc Peanut Protein Bar 63g"/>
        <s v="TRUE Chocolate Protein Bar 63g"/>
        <s v="TRUE Salted Caramel Protein Bar 63g"/>
        <s v="TRUE Toasted Coconut Protein Bar 63g"/>
        <s v="AMPHORE Cocomilk Eating Kefir 400g"/>
        <s v="AO Ginger Turmeric Sauerkraut 350g"/>
        <s v="BABUSHKA Organic Natural Kefir 500g"/>
        <s v="BONSOY Apple Cinnamon Kombucha 250ml"/>
        <s v="BONSOY Blueberry Strawberry Kombucha 250ml"/>
        <s v="BONSOY Cranberry Pomegranate Kombucha 250ml"/>
        <s v="BUCHI Ginger Turmeric Kombucha 375ml"/>
        <s v="BUCHI Hibiscus Galangal Kombucha 375ml"/>
        <s v="CERES Sauerkraut 680g"/>
        <s v="GAGAS Coconut Kefir 700ml"/>
        <s v="GAGAS Dill Pickle Sauerkraut 420g"/>
        <s v="GAGAS Sauerkraut 420g"/>
        <s v="GAGAS Vegan Kimchi 420g"/>
        <s v="HERBSOL Caraway Seed Sauerkraut 380g"/>
        <s v="HERBSOL Kombucha Hibiscus Flower 330ml"/>
        <s v="LOVEO ORG Achara Sauerkraut 440g"/>
        <s v="LOVEO ORG Kimchi Sauerkraut 440g"/>
        <s v="LOVEO ORG Ruby Sauerkraut 440g"/>
        <s v="LYG Fennel &amp; Pepperberry Sauerkraut 500g"/>
        <s v="LYG Smokey Garlic Jalapeno Sauerkraut 250g"/>
        <s v="OKBOOCHA Finger Lime Strawberry Kombucha 375ml"/>
        <s v="OKBOOCHA Ginger and Lemon Myrtle Kombucha 375ml"/>
        <s v="OKBOOCHA Kakadu Plum Kombucha 375ml"/>
        <s v="OKBOOCHA Wild Raspberry and Apple Kombucha 375ml"/>
        <s v="OKBOOCHA Zero Sugar Lemon Myrtle Sparkling Water 375ml"/>
        <s v="PLV Green SuperKraut 650g"/>
        <s v="PLV Super Berries Kefir 11 360ml"/>
        <s v="PLV Superkraut  Beetroot &amp; Herbs 650g"/>
        <s v="PLV Superkraut Kim Chi 650g"/>
        <s v="TTT Ginger Turmeric Kombucha 330ml"/>
        <s v="TTT Pine-Lime and Aloe Vera Kombucha 330ml"/>
        <s v="BOBSRED All-Purpose Baking Flour GF 623g"/>
        <s v="BOBSRED Dark Rye Flour 567g"/>
        <s v="BOBSRED GF 1-to-1 Baking Flour 624g"/>
        <s v="BOBSRED Masa Harina Flour 680g"/>
        <s v="BOBSRED Pancake Mix GF 680g"/>
        <s v="BOBSRED Potato Starch 623g"/>
        <s v="BOBSRED Wholegrain Oat Flour 567g"/>
        <s v="CASALAR Rice Bread Crumbs 330g"/>
        <s v="CHEFSCH Rose Water 250ml"/>
        <s v="KIALLA Unbleached Self Raising Flour 1Kg"/>
        <s v="POWERSF Cacao Powder 250g"/>
        <s v="STONEYC Brown Flaxseed Meal 500g"/>
        <s v="PARGO Eucalypt Green Bottle 950ml"/>
        <s v="Coriander Bunch"/>
        <s v="Dill Bunch"/>
        <s v="Parsley Flat Bunch"/>
        <s v="AMAZON Acai Energy (4 x 100g)"/>
        <s v="AMAZON Acai Pure Pack (4 x 100g)"/>
        <s v="ELGIN Chunk Mangoes 1kg"/>
        <s v="ELGIN Chunk Mangoes 350g"/>
        <s v="ELGIN Corn Kernels 600g"/>
        <s v="ELGIN Frozen Garden Peas 600g"/>
        <s v="ELGIN Frozen Green Beans 600g"/>
        <s v="ELGIN Frozen Strawberries 350g"/>
        <s v="ELGIN Mixed Berries 1kg"/>
        <s v="ELGIN ORG Pomegranate 350g"/>
        <s v="ELGIN Pineapple 1Kg"/>
        <s v="ELGIN Sour Cherries 350g"/>
        <s v="ELGIN Sweet Cherries 1Kg"/>
        <s v="ELGIN Sweet Cherries 350g"/>
        <s v="ELGIN Wild Blueberries 1Kg"/>
        <s v="HARVESTT Diced Avocados 300g"/>
        <s v="HARVESTT Papaya 400g"/>
        <s v="HARVESTT Wild Blueberries 1Kg"/>
        <s v="MTW Wild Blueberries 500g"/>
        <s v="OOB Potato Wedges 500g"/>
        <s v="SERIOUSO ORG Blueberries 400g"/>
        <s v="SERIOUSO ORG Raspberries 400g"/>
        <s v="FUNKP Funky Chuncky Pie 180g"/>
        <s v="GHF Curried Black Eyed Beans 700g"/>
        <s v="GHF Masoor Dahl 700g"/>
        <s v="GHF Spiced Capsicum Kalla Channa 750g"/>
        <s v="GHF Tofu Green Bean Stew 700g"/>
        <s v="HOG Chicken Goji &amp; Kale Meatballs 320g"/>
        <s v="HOG Dumplings Pork Spring Onion 285g"/>
        <s v="HOG Dumplings Tofu Shiitake Mushroom 275g"/>
        <s v="SYNDIAN Lentil Bites 250g"/>
        <s v="Apple Granny Smith"/>
        <s v="Apple Pink Lady"/>
        <s v="Avocado Hass"/>
        <s v="Banana Cavendish"/>
        <s v="Grapefruit"/>
        <s v="Kiwi (Loose)"/>
        <s v="Lemons"/>
        <s v="Mangoes"/>
        <s v="Orange"/>
        <s v="Paw Paw (Red Papaya)"/>
        <s v="Pear Packham"/>
        <s v="Strawberries"/>
        <s v="Watermelon"/>
        <s v="BYRONB Be Poweful 12ml"/>
        <s v="LUVINL Citrine Fairy Lights 2m"/>
        <s v="PDS Face Gel Cream 75ml"/>
        <s v="BASQUE Paella Rice 325g"/>
        <s v="CERES Butter Beans TIN 400g"/>
        <s v="CHEFSCH Basmati Rice 1Kg"/>
        <s v="CHEFSCH CORN Popping Corn 500g"/>
        <s v="HTG Basmati Brown Rice 650g"/>
        <s v="HTG Basmati White Rice 650g"/>
        <s v="HTG Black Beans TIN 400g"/>
        <s v="HTG Black Beluga Lentils 500g"/>
        <s v="HTG French Style Green Lentils 500g"/>
        <s v="HTG Hulled Buckwheat 500g"/>
        <s v="HTG Organic Jasmine Rice 650g"/>
        <s v="HTG Red Split Lentils 500g"/>
        <s v="MANFUSO Baked Beans in Tomato Sauce 400g"/>
        <s v="SPIRAL Black Beans TIN 400g"/>
        <s v="CHEFSCH Black Pepper Grinder 100g"/>
        <s v="GOURMET Bay Leaves 5g"/>
        <s v="GOURMET Coriander Seeds 20g"/>
        <s v="GOURMET Curry Leaves 5g"/>
        <s v="GOURMET Fennel Seeds 30g"/>
        <s v="GOURMET Ginger Ground 30g"/>
        <s v="GOURMET Ground Black Pepper 40g"/>
        <s v="GOURMET Ground Cinnamon 30g"/>
        <s v="GOURMET Ground Cumin 30g"/>
        <s v="GOURMET Lemongrass Powder 20g"/>
        <s v="GOURMET Middle Eastern Blend 30g"/>
        <s v="GOURMET Oregano 10g"/>
        <s v="GOURMET Paprika Smoked 30g"/>
        <s v="HTG Celtic Salt Coarse 600g"/>
        <s v="HTG Celtic Salt Fine 600g"/>
        <s v="HTG Himalayan Rock Salt Crystals 600g"/>
        <s v="HTG Himalayan Rock Salt Fine 600g"/>
        <s v="HTG Nutritional Yeast Flakes 150g"/>
        <s v="LASHERM Smoked Sweet Paprika 70g"/>
        <s v="MINDFF Organic Turmeric 300g"/>
        <s v="MINGLE Guac &amp; Avo All Natural Seasoning 100g"/>
        <s v="OLSSONS The Great White Salt Rub 160g"/>
        <s v="SALTEAR Celtic Sea Salt Fine 650g"/>
        <s v="BLULEM Pachouli &amp; Lavender Incense Sticks 10st"/>
        <s v="BLULEM Pachouli &amp; Rose  Incense Sticks 10st"/>
        <s v="BLULEM Tonka Bean &amp; Sandalwood Incense Sticks 10st"/>
        <s v="DOTERRA Essential Oil Lemon 15ml"/>
        <s v="DRORG Eucalyptus Pure Oil 10ml"/>
        <s v="KOALA Pillow &amp; Linen Spray Eucalyptus Peppermint Rosalina 250ml"/>
        <s v="BIONA Harissa Chilli Relish 125g"/>
        <s v="BIPPI Italian Bomba Hot 240g"/>
        <s v="CERES Sriracha Chilli Sauce 250ml"/>
        <s v="*SCLEAN Hand Wash Lemon &amp; Myrtle 500ml"/>
        <s v="*White Magic - Eco Basics Party Set Bio 140pc"/>
        <s v="ECOLOGIC Dishwashing Liquid Sweet Orange &amp; Clementine 500ml"/>
        <s v="GCS 3 Eco Cloths Medium"/>
        <s v="KOALA Floor Cleaner Mandarin &amp; Peppermint 500ml"/>
        <s v="KOALA Laundry Wash Lemon Scented Eucalyptus &amp; Rosemary 1L"/>
        <s v="KOALA Pot Scrubber 1u"/>
        <s v="SCLEAN Healthy Clean Bathroom 500ml"/>
        <s v="SCLEAN Laundry Powder Eucalyptus 1Kg"/>
        <s v="SCLEAN Spray &amp; Wipe Lemon Myrtle 500ml"/>
        <s v="SCLEAN Toilet Cleaner Eucalyptus 500ml"/>
        <s v="SCLEAN Window &amp; Glass Cleaner 500ml"/>
        <s v="WGAC Paper Towel"/>
        <s v="WGAC Toilet Paper Single Roll"/>
        <s v="FEELGOOD Choc Banana Ice Cream"/>
        <s v="FEELGOOD Choc Banana Ice Cream 4 Pack"/>
        <s v="FLYF Coconut &amp; Milk Ice Blocks 57ml"/>
        <s v="FLYF Lime &amp; Mint Ice Blocks 57ml"/>
        <s v="FLYF Milk Choc Ice Blocks 57ml"/>
        <s v="FLYF Orange Mango Ice Blocks 57ml"/>
        <s v="FLYF Strawberry &amp; Cream Ice Blocks 57ml"/>
        <s v="FLYF Strawberry Lemon Ice Blocks 57ml"/>
        <s v="FLYF Watermelon Ice Blocks 57ml"/>
        <s v="FRANUI Dark 150g"/>
        <s v="FRANUI Milk 150g"/>
        <s v="FROZENS Cookie Crumble Ice block 80ml"/>
        <s v="FROZENS Dark Choc Ice block 80ml"/>
        <s v="FROZENS Mango Swirl Ice block 80ml"/>
        <s v="FROZENS Passionfruit Tart Ice block 80ml"/>
        <s v="FROZENS Salted Caramel Ice block 80ml"/>
        <s v="FROZENS Strawberry Ice block 80ml"/>
        <s v="FROZENS Watermelon Ice block 80ml"/>
        <s v="MUNGALL Belgian Choc Ice Cream 110g"/>
        <s v="MUNGALL Belgian Choc Ice Cream 476g"/>
        <s v="MUNGALL Choc Mint Choc Ice Cream 110g"/>
        <s v="MUNGALL Vanilla Ice Cream 110g"/>
        <s v="SERIOUSO ORG Banana Bites 65g"/>
        <s v="SERIOUSO ORG Pineapple Bites 65g"/>
        <s v="YUMBAR Caramel Cream Sandwich 110g"/>
        <s v="YUMBAR Chocolate Ice Cream Sandwich 110g"/>
        <s v="YUMBAR Coffee Ice Cream Sandwich 110g"/>
        <s v="YUMBAR Hazelnut Cream Sandwich 110g"/>
        <s v="YUMBAR Multi Pack Creamy  12u"/>
        <s v="YUMBAR Multi Pack Fruity  12u"/>
        <s v="YUMBAR Multi Pack Vanilla  12u"/>
        <s v="YUMBAR Raspberry &amp; Cream Ice Cream Sandwich 110g"/>
        <s v="YUMBAR Vanilla Ice Cream Sandwich 110g"/>
        <s v="KURA Sushi Nori 12pc"/>
        <s v="KURA White Miso Paste 200g"/>
        <s v="SPIRAL Instant Miso White 7g x 5"/>
        <s v="SPIRAL ORG Miso Mugi 400g"/>
        <s v="SPIRAL ORG Miso Shiro 300g"/>
        <s v="SPIRAL Plum Vinegar 250ml"/>
        <s v="SPIRAL Seaweed Furikake 76g"/>
        <s v="WANJANS Dumpling Sauce 200ml"/>
        <s v="WANJANS Shitake Stir Fry Sauce 200ml"/>
        <s v="MINDFF Black Pepper 130g"/>
        <s v="GOLDEN Grind Turmeric Latte 100g"/>
        <s v="MATCHAM Matcha Powder 70g"/>
        <s v="MATCHAM Matcha Whisk 1u"/>
        <s v="MINDFF Matcha Ceremonial 100g"/>
        <s v="PRANCHAI Sticky Chai Masala Blend 1kg"/>
        <s v="TOKUNAGA Matcha Powder 100g"/>
        <s v="BITEME Greek Keftedes Meatballs 240g"/>
        <s v="BITEME Thai Chicken Bites 300g"/>
        <s v="CTF Beef Burger Patty 150g"/>
        <s v="MEADOWS FR Lemon &amp; Herbs Chicken Breast 220g"/>
        <s v="MEADOWS FR Portuguese Chicken Breast 220g"/>
        <s v="NONNAS Angus Beef Burger"/>
        <s v="NONNAS Beef Eye Fillets"/>
        <s v="NONNAS Chicken Tandoori Kebab 400g"/>
        <s v="NONNAS FR Chicken Breast"/>
        <s v="NONNAS FR Chicken Schnitzel"/>
        <s v="NONNAS FR Chicken Thigh"/>
        <s v="NONNAS Italian Meatballs"/>
        <s v="NONNAS Lean Organic Beef Mince"/>
        <s v="NONNAS ORG Beef Sausages"/>
        <s v="NONNAS ORG Beef Stir fry"/>
        <s v="NONNAS ORG Scotch Fillet Steak"/>
        <s v="NONNAS Thick Italian Sausages"/>
        <s v="NONNAS org Beef Scotch Fillet Steak"/>
        <s v="CHEFSCH Balsamic Glaze 150ml"/>
        <s v="COGR EV Olive Oil 500ml"/>
        <s v="HTG Coconut Oil Virgin 1L"/>
        <s v="KIWIA Truffle Oil Infused Olives 150g"/>
        <s v="MOUNTZ Arbequina EV Olive Oil 500ml"/>
        <s v="PLENTY Almond Oil 375ml"/>
        <s v="SPIRAL ORG Apple Cider Vinegar 500ml"/>
        <s v="THREEO Olive Oil 3L"/>
        <s v="WILDM Apple Cider Vinegar 500ml"/>
        <s v="BAG - Shopping"/>
        <s v="CERES Vegan Basil Pesto 130g"/>
        <s v="HTG Diced Tomatoes 400g"/>
        <s v="HTG Org Tomato Puree 690g"/>
        <s v="HTG Passata Rustica 680g"/>
        <s v="SPIRAL Pasta Sauce Basil and Garlic 375g"/>
        <s v="SPIRAL Sauce Pizza/Pasta 375g"/>
        <s v="SPIRAL Sugo Garlic Basil Pasta Sauce 709g"/>
        <s v="ALBGOLD Kids Pasta Dinos 300g"/>
        <s v="ALBGOLD Kids Pasta Farms 300g"/>
        <s v="BERKELO Sourdough Khorasan Macaroni Pasta 400g"/>
        <s v="BERKELO Sourdough Spelt Shells Pasta 400g"/>
        <s v="BERKELO Wholemeal Shells Pasta 400g"/>
        <s v="CASALAR GF Cannelloni 125g"/>
        <s v="CASALAR GF Penne 250g"/>
        <s v="CASALAR GF Spirals 250g"/>
        <s v="CERES GF Quinoa Rice Spaghetti 250g"/>
        <s v="CERES GF Sorghum Fusilli 250g"/>
        <s v="CERES GF Sorghum Spaghetti 250g"/>
        <s v="HTG Tom Yum Instant Noodles 85g"/>
        <s v="KINGSOBA 100% Buckwheat Noodles 250g"/>
        <s v="KINGSOBA 100% Buckwheat Ramen Noodles 280g"/>
        <s v="NCHOICE Bifun Brown Rice Noodles 200g"/>
        <s v="NCHOICE Brown Rice &amp; Pumpkin Noodles 200g"/>
        <s v="OGO Baby Anellini Vegetables 250g"/>
        <s v="OGO GF Amaranth Rice Penne 300g"/>
        <s v="OGO GF Amaranth Rice Spaghetti 300g"/>
        <s v="OGO GF Quinoa Rice Penne 300g"/>
        <s v="OGO GF Quinoa Rice Spaghetti 300g"/>
        <s v="Otway GF Torchio 375g"/>
        <s v="PASCAR Lumaconi Pasta 500g"/>
        <s v="PASCAR Rigatoni Pasta 500g"/>
        <s v="SPIRAL GF White Rice Noodles 225g"/>
        <s v="SPIRAL Instant Rice Noodle 5x60g"/>
        <s v="SPIRAL Noodles Soba 100% Buckwheat 250g"/>
        <s v="SPIRAL Shirataki Noodles 75g"/>
        <s v="TWF Kelp Noodles 340g"/>
        <s v="ZEROSLM Konjac Fettuccini Style 400g"/>
        <s v="ZEROSLM Konjac Noodle Style 400g"/>
        <s v="ZEROSLM Low Carb Rice 1kg"/>
        <s v="ALOED Toothpaste Fluoride Free Triple Actions Charcoal 100ml"/>
        <s v="ALOED Toothpaste Sensitive 100ml"/>
        <s v="AMPERNA Pro+Bio Resurfacing Retinol Atl 50ml"/>
        <s v="ASHAYA In-Flow Body Oil 100ml"/>
        <s v="ASHAYA Re-Glow Face Oil 30ml"/>
        <s v="AZINC Avo Zinc SPF50 Sunscreen 100ml"/>
        <s v="BLACKC Axilla Deodorant Paste 75g"/>
        <s v="BLACKC Oral Swishing Oil 115ml"/>
        <s v="DAVIDS Anti-plaque Whitening Peppermint Toothpaste 149g"/>
        <s v="DAVIDS Sensitive Whitening Peppermint Toothpaste 113g"/>
        <s v="DOTERRA Grounding Blend Deodorant 75g"/>
        <s v="DRBRON Lavender Coconut Hair Creme 177ml"/>
        <s v="DRKWASI Natural Moskito Shield 50ml"/>
        <s v="DRORG Toothpaste Activated Charcoal 100ml"/>
        <s v="EPZEN Moisture Body Wash 400ml"/>
        <s v="EPZEN Sensitive Body Wash 400ml"/>
        <s v="EWISEN Body Wash Orange Cedarwood Sage 1L"/>
        <s v="EWISEN Hand Wash Coconut &amp; Vanilla 450ml"/>
        <s v="GEM Toothpaste Premium Natural Watermelon Mint 100g"/>
        <s v="GOBAMBOO Toothbrush Children 1u"/>
        <s v="GOODIESG Epsom Salts 1kg"/>
        <s v="GRANTS Blueberry Burst Kids Toothpaste 75g"/>
        <s v="GRANTS Minty Fresh Mouthwash 500ml"/>
        <s v="GRIN 100% Recycled Toothbrush Medium Grey"/>
        <s v="GRIN 100% Recycled Toothbrush Soft 1u"/>
        <s v="GRIN Charcoal Infused Floss Picks Ultra Clean 40pcs"/>
        <s v="GRIN Pro Ultimate Whitening Toothbrush Soft 2pk"/>
        <s v="HOTRESS Rehab Conditioner Unravel Me 250ml"/>
        <s v="HURRAW Almond Lip Balm 4.3g"/>
        <s v="HURRAW Black Cherry Tinted Lip Balm 4.8g"/>
        <s v="HURRAW Hazelnut Tinted Lip Balm 4.8g"/>
        <s v="HURRAW Tangerine Chamomile Lip Balm SPF15 4.3g"/>
        <s v="JACKJIL Strawberry Fluoride Free Toothpaste 50g"/>
        <s v="JUNIPER Medi Balm 80g"/>
        <s v="JUNIPER Oil Balancing Lotion 125ml"/>
        <s v="JUNIPER Pure Rejuvenation Oil 30ml"/>
        <s v="KOALA Body Wash Rosalina &amp; Peppermint 500ml"/>
        <s v="KOALA Rosalina &amp; Peppermint Hand &amp; Body Lotion 500ml"/>
        <s v="LU Natural Sunscreen SPF 30 100g"/>
        <s v="LU Natural Sunscreen SPF 50 100g"/>
        <s v="NAKED Lemon Tallow Cream 100ml"/>
        <s v="NATRACARE Moist Tissues 30u"/>
        <s v="NATURELY Nourish Body Wash Rosehip Almond Oil 1L"/>
        <s v="NOOSABA Charcoal &amp; Eucalyptus Deodorant Roll on 50ml"/>
        <s v="NOOSABA Coconut Lime Deodorant Roll on 50ml"/>
        <s v="NOOSABA Foaming Face Wash Acne Pro Skin 150ml"/>
        <s v="NOOSABA Lemon Myrtle Deodorant Roll on 50ml"/>
        <s v="NOOSABA Sandalwood Deodorant Stick 60g"/>
        <s v="OYC Tampons Regular (16)"/>
        <s v="PEACHIE Geranium &amp; Juniper Berry Soap 110g"/>
        <s v="SLS All Hail Hydration Moisture Repair Shampoo 350ml"/>
        <s v="SLS Eternal Boost Advanced Stimulating Shampoo 350ml"/>
        <s v="SLS Resurrection Repair Hair Treatment Mask 350ml"/>
        <s v="SURFMUD Mineral Sunscreen SPF 50+ 125g"/>
        <s v="SURFMUD Ocean Addicts Sunscreen SPF 30 Tin 100g"/>
        <s v="TGOODO The Good Oil 135ml"/>
        <s v="TSB Bentonite Clay 400g"/>
        <s v="TUTTO Cleansing Oil 100ml"/>
        <s v="TUTTO Roman Blue Tallow Balm"/>
        <s v="UNDA Natural Conditioner/Shampoo"/>
        <s v="VRINDAV Castor Oil 100ml"/>
        <s v="VRINDAV Castor Oil Cream Frankincense 100ml"/>
        <s v="WELEDA Active Fresh 3 in 1 Shower Gel Men 200ml"/>
        <s v="WELEDA Baby All Purpose Calendula Balm 25g"/>
        <s v="WELEDA Skin Food Light Face &amp; Body Cream 75ml"/>
        <s v="WELEDA Skin Food Lip Balm 8ml"/>
        <s v="*ORGPAWS Lamb Sliders Dog/Cat Treats 100g"/>
        <s v="BUGSY Bully Sticks Dog Treat 100g"/>
        <s v="AO Beetroot Slices 340g"/>
        <s v="AO Kalamata Olives Pitted 295g"/>
        <s v="CERES Chilli Gherkins 670g"/>
        <s v="CERES Green Olives Pitted 315g"/>
        <s v="CERES Kalamata Olives Whole 320g"/>
        <s v="CERES Sliced Beetroot 330g"/>
        <s v="CERES Sundried Tomatoes in EVOO 280g"/>
        <s v="CHEFSCH Beans Sprouts 330g"/>
        <s v="CHEFSCH Dried Shitake Mushrooms Slices 30g"/>
        <s v="CHEFSCH Sweet Corn 350g"/>
        <s v="KURA Natural Ginger Pickles 190g"/>
        <s v="KURA Pink Ginger Pickles 190g"/>
        <s v="SPIRAL Pickled Ginger 50g"/>
        <s v="SPIRAL Umeboshi Salted Plums 150g"/>
        <s v="COOLIBAH Baby Salad Leaves 120g"/>
        <s v="COOLIBAH Baby Spinach 120g"/>
        <s v="COOLIBAH Super Food Mix 120g"/>
        <s v="COOLIBAH Wild Roquette 120g"/>
        <s v="Lettuce Cos"/>
        <s v="COLLINS Alaskan Wild Caught Salmon"/>
        <s v="COLLINS Wild Caught Barramundi"/>
        <s v="EASTC Olive Oil Australian Wild Tuna 95g"/>
        <s v="EUROS Salmon Portion 200g"/>
        <s v="GOODFIS Mackerel Brine Can 120g"/>
        <s v="GOODFIS Mackerel EVO Oil Jar 195g"/>
        <s v="GOODFIS Mackerel in EVO Oil CAN 120g"/>
        <s v="GOODFIS Salmon Brine Can 120g"/>
        <s v="GOODFIS Salmon EVO Oil Jar 195g"/>
        <s v="GOODFIS Salmon in EVO Oil CAN 120g"/>
        <s v="GOODFIS Tuna Brine Can 125g"/>
        <s v="GOODFIS Tuna EVO Oil Jar 195g"/>
        <s v="SAFECAT Elite Wild Tuna 142g"/>
        <s v="TSM Wild Mackerel in EVOO 120g"/>
        <s v="CERES Green Thai Curry Paste 175g"/>
        <s v="CHURCHF Homestyle Indian Curry Paste 180g"/>
        <s v="CHURCHF Rendang Curry Paste 180g"/>
        <s v="CHURCHF Thai Yellow Curry Paste 180g"/>
        <s v="MINGLE Green Curry Base 30g"/>
        <s v="MINGLE Japanese Curry Base 30g"/>
        <s v="MINGLE Mellow Taco All Natural Recipe Base 30g"/>
        <s v="MINGLE Mexican Fajita All Natural Recipe Base 35g"/>
        <s v="MINGLE Stroganoff Base 30g"/>
        <s v="TSM Spanish Rice Cooked in Bone Broth 250g"/>
        <s v="TULLYZK Butter Chicken Simmer Sauce 375g"/>
        <s v="Breakfast Smoothie"/>
        <s v="Go Nuts"/>
        <s v="Green Machine"/>
        <s v="Manly Mermaid"/>
        <s v="PB &amp; J"/>
        <s v="Pump it Protein"/>
        <s v="Straight Up"/>
        <s v="Tropical Bliss"/>
        <s v="Green Soup"/>
        <s v="BRAGG Coconut Liquid Aminos 296ml"/>
        <s v="BRAGG Liquid Aminos All Purpose Seasoning 473ml"/>
        <s v="CARWARI Tamari Soy Sauce 250ml"/>
        <s v="SPIRAL ORG Tamari Soy Sauce 250ml"/>
        <s v="SPIRAL ORG Tamari Soy Sauce 500ml"/>
        <s v="SPIRAL Salt Reduced Tamari Sauce 250ml"/>
        <s v="TOPWIL Cocomino Teriyaki Sauce 250ml"/>
        <s v="BERRING Eucalyptus Raw Honey 1Kg"/>
        <s v="BPAUS Manuka Honey MGO 263 250g"/>
        <s v="Beerose Honey 500g"/>
        <s v="CARWARI Tahini Hulled 375g"/>
        <s v="CDS Crunch Peanut Butter 300g"/>
        <s v="DALHOUSE Raspberry Rhubarb Jam 285g"/>
        <s v="EVERYM Baby Low FODMAP Everymite Spread 150g"/>
        <s v="HANDHOE Macadamia Butter Roasted Crunchy 225g"/>
        <s v="HANDHOE Macadamia Butter Roasted Crunchy 700g"/>
        <s v="HANDHOE Macadamia Butter Roasted Smooth 225g"/>
        <s v="HANKS Orange and Lime Marmalade"/>
        <s v="HANKS Strawberry Jam 289g"/>
        <s v="HTG Organic Maple Syrup 1L"/>
        <s v="HTG Organic Maple Syrup 250ml"/>
        <s v="HTG Raw Honey 1Kg"/>
        <s v="KINGI Pure Manuka Honey 700+MGO 250g"/>
        <s v="SPIRAL Crunchy Peanut Butter 375g"/>
        <s v="SPIRAL Hulled Tahini 375g"/>
        <s v="SPIRAL ORG Maple Syrup 250ml"/>
        <s v="ARTABAN Original Hemp Oil 100mL"/>
        <s v="BESTBON Multi-Collagen Protein 500g"/>
        <s v="CERES Super Seed Blend 250g"/>
        <s v="CHIEF Grass Fed Collagen Protein Creamy Vanilla Powder 450g"/>
        <s v="HILBILB Fire Tonic 180ml"/>
        <s v="HTG Raw Maca¬†Powder¬†350g"/>
        <s v="LIFECYK Bee Pollen 150g"/>
        <s v="MELROSE Cod Liver Oil Health &amp; Vision 500ml"/>
        <s v="MINDFF Fungi Lion's Mane 100g"/>
        <s v="MINDFF Lemon Myrtle 90g"/>
        <s v="MINDFF Slippery¬†Elm¬†180g"/>
        <s v="MITCHELLSN Bone Broth Protein Powder Chocolate 30g"/>
        <s v="MITCHELLSN Bone Broth Protein Powder Salted Caramel 30g"/>
        <s v="MITCHELLSN Bone Broth Protein Powder Strawberry 30g"/>
        <s v="MITCHELLSN Bone Broth Protein Powder Unflavoured 30g"/>
        <s v="MITCHELLSN Bone Broth Protein Powder Vanilla 30g"/>
        <s v="NATURALL Propolis Liquid 40% (No Alcohol) 25ml"/>
        <s v="NATURALL Propolis Soap With Tea Tree 100g"/>
        <s v="NFS Blue Tongue Sea Moss Gel 375ml"/>
        <s v="NFS Blue Tongue Sea Moss Gel 500ml"/>
        <s v="NFS Glow State Sea Moss Gel 375ml"/>
        <s v="NFS OG Sea Moss Gel 375ml"/>
        <s v="NFS OG Sea Moss Gel 500ml"/>
        <s v="NFS Purple Butterfly Sea Moss Gel 375ml"/>
        <s v="NFS Truffle Magic Sea Moss Gel 375ml"/>
        <s v="NUTRAO Super Greens + Reds 300g"/>
        <s v="ORGIN Moringa Leaf Powder 226g"/>
        <s v="RESPIRE Sleep Strips 30 Pack"/>
        <s v="SISUU Tonic 180ml"/>
        <s v="SODII Everyday Hydration Salts Mixed Flavour 6pk"/>
        <s v="SODII Everyday Hydration Salts Pineapple 30pk"/>
        <s v="SODII Everyday Hydration Salts Salty Mandarin 30pk"/>
        <s v="SODII Everyday Hydration Salts Salty Raspberry 30pk"/>
        <s v="STARD Cacao Energise 120g"/>
        <s v="STARD Plant Protein Original 380g"/>
        <s v="TRUE Collagen Mixed Berries 300g"/>
        <s v="TRUE Creatine Mono Powder 250g"/>
        <s v="TRUE Plant Base French Vanilla Protein Powder 750g"/>
        <s v="TRUE Plant Base Rich Choc Protein Powder 750g"/>
        <s v="TRUE Protein 30g"/>
        <s v="TRUE WPI 90 Banana &amp; Honey Protein Powder 360g"/>
        <s v="TRUE WPI 90 French Vanilla Protein Powder 1kg"/>
        <s v="TRUE WPI 90 French Vanilla Protein Powder 360g"/>
        <s v="TRUE WPI 90 Natural Protein Powder 360g"/>
        <s v="Baked Goods"/>
        <s v="Chilled Treats"/>
        <s v="Sweet Nectar"/>
        <s v="*ETS Cranberry, Hibiscus &amp; Rosehip Tea 20tb"/>
        <s v="BUDDHAT Calm Buddha Blend Tea 18tb"/>
        <s v="BUDDHAT Dandelion Root  18pk"/>
        <s v="BUDDHAT Hibiscus Tea 18tb"/>
        <s v="BUDDHAT Nettle Tea 18tb"/>
        <s v="BUDDHAT Raspberry Leaf Tea 18tb"/>
        <s v="BUDDHAT Sleepy Temple Tea 18tb"/>
        <s v="CERES Night Time Tea 20tb"/>
        <s v="ETS Chamomile Tea 20tb"/>
        <s v="ETS Cocoa Rooibos &amp; Vanilla Tea 20tb"/>
        <s v="ETS English Breakfast Tea 20tb"/>
        <s v="ETS Green Tea 20tb"/>
        <s v="ETS Rooibos Tea 20tb"/>
        <s v="MINDFF Chillax Brew Tea 60g"/>
        <s v="MINDFF DMTea Tea 100g"/>
        <s v="MINDFF Lemom Balm 70g"/>
        <s v="MINDFF Tummy Tea 90g"/>
        <s v="MOT Decaf Green Tea 20tb"/>
        <s v="MOT Pure Green Tea 20tb"/>
        <s v="ORGIN Deep Mint Tea 25tb"/>
        <s v="ORGIN Fresh Chamomile Tea 25tb"/>
        <s v="ORGIN Hibiscus Tea 25tb"/>
        <s v="ORGIN Immuno Guard Tea 25tb"/>
        <s v="ORGIN Tulsi Original Tea 25tb"/>
        <s v="ORGIN Tulsi Peppermint Tea 25tb"/>
        <s v="ORGIN Tulsi Sleep Tea 25tb"/>
        <s v="ORGIN Tulsi Sweet Rose Tea 25tb"/>
        <s v="QITEA Matcha Green Tea 25tb"/>
        <s v="ROOGENIC Berry Sleep Tea 8tb"/>
        <s v="ROOGENIC Detox Tea 8tb"/>
        <s v="ROOGENIC Inflammation Tea 8tb"/>
        <s v="XOTEA American Peppermint Tea 25tb"/>
        <s v="XOTEA Cleanse Australian Detox Tea 25tb"/>
        <s v="XOTEA Immunity Looseleaf Tea 50g"/>
        <s v="CERES Coconut &amp; Chocolate Wafer Bites 60g"/>
        <s v="CERES Coconut Rolls Espresso 80g"/>
        <s v="GIMME Roasted Seaweed Snack in Avocado Oil 6x4.5g"/>
        <s v="GIMME Roasted Seaweed Snacks Grab &amp; Go Teriyaki 5x4g"/>
        <s v="HSS Roasted Seaweed Snacks Sea Salt Multipack (6x5g) 30g"/>
        <s v="HSS Roasted Seaweed Snacks Teriyaki 5g"/>
        <s v="HSS Roasted Seaweed Snacks Wasabi 5g"/>
        <s v="REALN Protein Edamame Pops Salt &amp; Vinegar 26g"/>
        <s v="REALN Protein Edamame Pops Sea Salt 26g"/>
        <s v="BISQUE Furikake Lupin Tempeh 250g"/>
        <s v="BISQUE Tamari Lupin Tempeh 250g"/>
        <s v="BONSOY Soy Milk 1L"/>
        <s v="BOTCUIS Macadamia Cheese New Yorker 295g"/>
        <s v="BOTCUIS Persian Style Macadamia Feta 325g"/>
        <s v="COCOSOUL Organic Coconut Milk 1.25L"/>
        <s v="COYO Coconut Sour Cream 200g"/>
        <s v="COYO Coconut Yoghurt Natural 500g"/>
        <s v="COYO Coconut Yoghurt Natural 900g"/>
        <s v="COYO Coconut Yoghurt Vanilla Bean 900g"/>
        <s v="COYO Greek Coconut Yoghurt 500g"/>
        <s v="COYO Greek Coconut Yoghurt 900g"/>
        <s v="DELISOY Tofu Firm 375g"/>
        <s v="ES Silken Tofu 300g"/>
        <s v="MACAM Macadamia Milk 1L"/>
        <s v="MADAME Barista Tigernut Milk 1L"/>
        <s v="MADAME Tigernut Milk 1L"/>
        <s v="MANDOLEO Barista Almond Milk 1L"/>
        <s v="MANDOLEO Unsweetened Almond Milk 1L"/>
        <s v="NAKEDBY Vegan Mayo 435g"/>
        <s v="OATLY Oat Milk Barista 1L"/>
        <s v="OMG Oat Milk Long Life 1L"/>
        <s v="PLV Activated Cashew Dill Cheese 280g"/>
        <s v="PUREHAR Coco Quench Coconut Milk 1L"/>
        <s v="PUREHAR Unsweetened Almond Milk 1L"/>
        <s v="VBEST Coconut Yoghurt Choc Mousse 500g"/>
        <s v="Baby Broccoli"/>
        <s v="Beetroot"/>
        <s v="Broccoli"/>
        <s v="Cabbage Green"/>
        <s v="Cabbage Red"/>
        <s v="Capsicum Red"/>
        <s v="Carrot Loose"/>
        <s v="Carrot Loose ü•ï"/>
        <s v="Cauliflower White"/>
        <s v="Cucumber Lebanese"/>
        <s v="Garlic"/>
        <s v="Ginger"/>
        <s v="Green Beans"/>
        <s v="Kale Black Bunch"/>
        <s v="LOVEB Beetroot Peeled &amp; Cooked Fresh 240g"/>
        <s v="Manly Farm Magic Box $15"/>
        <s v="Onion Brown"/>
        <s v="Onion Spanish Red"/>
        <s v="Potato"/>
        <s v="Pumpkin Butternut"/>
        <s v="Pumpkin Jap Kent"/>
        <s v="Radish Pack"/>
        <s v="Snow Peas 200g"/>
        <s v="Sweet Potato Gold"/>
        <s v="Tomato Cherry 200g"/>
        <s v="Tomato Gourmet"/>
        <s v="Turmeric"/>
        <s v="Zucchini"/>
        <s v="Bowl - Chicken Buddha"/>
        <s v="Bowl - Salmon Salad"/>
        <s v="Bowl - Tofu Buddha"/>
        <s v="Breakfast - Berry Matcha Chia Cup"/>
        <s v="Breakfast - Breakfast Wrap"/>
        <s v="Breakfast - Cacao, Peanut Butter &amp; Banana Chia Cup"/>
        <s v="Breakfast - Veggie Breakfast Wrap"/>
        <s v="Burrito - Chicken"/>
        <s v="Burrito - Veggie"/>
        <s v="Wrap - Falafel"/>
        <s v="Wrap - GG Chicken"/>
        <m/>
        <s v="Custom Amount" u="1"/>
        <s v="BUBS Baby Food Blueberry Banana Quinoa 120g" u="1"/>
        <s v="FRANJOSK Lactation Choc Chip Biscuits 250g" u="1"/>
        <s v="HOLLE Mango &amp; Pineapple with Oats &amp; Quinoa 110g" u="1"/>
        <s v="ISAACS Fruity Bite 120g" u="1"/>
        <s v="ISAACS Jammy Date Bite 5 x 30g" u="1"/>
        <s v="LITTLEO Goat Milk Formula Stage 1 800g" u="1"/>
        <s v="NUTRAO Gusty Gummies Strawberry Mix 150g" u="1"/>
        <s v="ANCHARV Lo-Carb Wraps 220g (5x44g)" u="1"/>
        <s v="BIONA Pumpernickel Bread 500g" u="1"/>
        <s v="DIEGOS GF Wraps 360g" u="1"/>
        <s v="MESTEM Pumpernickel Bread 250g" u="1"/>
        <s v="NATURIS  Organic Kamut Bread Loaf 680g" u="1"/>
        <s v="NATURIS Bread 100% Rye 680g" u="1"/>
        <s v="NONIES GF Charcoal Bread 1.1Kg" u="1"/>
        <s v="NONIES GF Light Golden Bread 550g" u="1"/>
        <s v="PALAMANO Almond Tortillas 125g" u="1"/>
        <s v="BOBSRED ORG Steel Cut Oats 680g" u="1"/>
        <s v="CHEFSCH Quinoa Flakes 300g" u="1"/>
        <s v="GOODMIX Blend 11 Breakfast Booster 400g" u="1"/>
        <s v="KIALLA Rolled Oats 1kg" u="1"/>
        <s v="MINDFF Birchia Paleo Prebiotic 200g" u="1"/>
        <s v="MINDFF Granola Cacao Brain Power 200g" u="1"/>
        <s v="NATPATH Organic Honey'd Corn Flakes 300g" u="1"/>
        <s v="OGO Andean Pops Chocolate 250g" u="1"/>
        <s v="BESTBON Bone Broth Concentrate Turmeric 390g" u="1"/>
        <s v="CHERRYT Beef Bone Broth 1L" u="1"/>
        <s v="GEVITY Bone Broth Burn 390g" u="1"/>
        <s v="GEVITY Bone Broth Immunity Tonic 390g" u="1"/>
        <s v="SANELK Artisan Chicken Bone Stock 160g" u="1"/>
        <s v="SOL Superbroth 100g" u="1"/>
        <s v="UNFCO Bone Broth Beef 500ml" u="1"/>
        <s v="URBANF Lemongrass Broth 250g" u="1"/>
        <s v="HTG Dark Chocolate Drops 70% Cocoa 250g" u="1"/>
        <s v="MINDFF Cacao Nibs 280g" u="1"/>
        <s v="BUDERIM Ginger Bioactive Gummie Bears 25g" u="1"/>
        <s v="FUNDAY Party Mix Gummies 50g" u="1"/>
        <s v="FUNDAY Strawberry &amp; Cream Gummies 50g" u="1"/>
        <s v="PUR Grape Bubblegum Watermelon Gum 81g" u="1"/>
        <s v="PUR Spearmint Mints 30g" u="1"/>
        <s v="TGP Gin Gins Ginger Candy Bag Super Strength 60g" u="1"/>
        <s v="TRUEG Mints Watermelon 13g" u="1"/>
        <s v="VALLI Sour Apple Super Green Worms 50g" u="1"/>
        <s v="WELLIBITES Pear &amp; Melon Lollies 70g" u="1"/>
        <s v="YUMEART Lollipop + Vit C 14 x 87g" u="1"/>
        <s v="BITEME Sweet Potato Rosti 300g" u="1"/>
        <s v="BOULDER Cracked Pepper Potato Chips with Avo Oil 149g" u="1"/>
        <s v="CERES Cheese Pea Chips 100g" u="1"/>
        <s v="CERES Salt &amp; Pepper Pea Chips 100g" u="1"/>
        <s v="DONACH Blue Corn Totopos 170g" u="1"/>
        <s v="FOXPOPS Popped Water Lily Seeds Smoked Chilli 28g" u="1"/>
        <s v="PROPERC Potato Chips Cider Vinegar 140g" u="1"/>
        <s v="PROPERC Sea Salt Potatoes Chips 150g" u="1"/>
        <s v="SERIOUSF Pea Puff Real Cheese 100g" u="1"/>
        <s v="SERIOUSF Popcorn Multipack Sweet &amp; Salty 120g" u="1"/>
        <s v="BENNETT Choc Bar Intense Dark 80g" u="1"/>
        <s v="CAROBKI Carob Bar Mint 80g" u="1"/>
        <s v="COOLM Coconut Medjool Dates 56g" u="1"/>
        <s v="COOLM Hazelnut Crunch Medjool Dates 56g" u="1"/>
        <s v="MAMO Cayenne Chilli Carob Bar 90g" u="1"/>
        <s v="MAMO Roasted Hazelnut Carob Bar 90g" u="1"/>
        <s v="ORTIMES White Chocolate Strawberries 100g" u="1"/>
        <s v="TONYSC Dark Almond Sea Salt Choc Bar 47g" u="1"/>
        <s v="BONDIB Arabica Coffee" u="1"/>
        <s v="CHICORYC Instant Chicory Beverage 100g" u="1"/>
        <s v="IYC Coffee Filter No 4 100u" u="1"/>
        <s v="MANLYFARM Coffee Beans 1kg" u="1"/>
        <s v="CHANTAL Tomato Ketchup Squeeze 567g" u="1"/>
        <s v="LUMLUM Sweet Chilli Sauce 200g" u="1"/>
        <s v="MULLUM Basil Pesto 235g" u="1"/>
        <s v="SPIRAL Dijon Mustard 200g" u="1"/>
        <s v="CRUMBLE Raspberry Wheel 60g" u="1"/>
        <s v="FOF Coconut &amp; Maple Cookies 160g" u="1"/>
        <s v="KEA GF Macadamia Cookies 250g" u="1"/>
        <s v="KEA GF Vanilla Cookies 250g" u="1"/>
        <s v="LBO Good Macaroons Passionfruit Macadamia 125g" u="1"/>
        <s v="OATZILLA Freckle 30g" u="1"/>
        <s v="BAROSSA Plain Wafer Crackers 100g" u="1"/>
        <s v="CERES Brown Rice Crackers Sea Salt &amp; Vinegar 115g" u="1"/>
        <s v="CERES Brown Rice Crackers Seaweed &amp; Green Tea 115g" u="1"/>
        <s v="CERES Corn Cake Thins 120g" u="1"/>
        <s v="CERES Crispy Rice Black Sesame Crackers 110g" u="1"/>
        <s v="CERES Rice Bites Sea Salt &amp; Vinegar 100g" u="1"/>
        <s v="CURCAUL Seeded Cauli Crackers 80g" u="1"/>
        <s v="DELIGR Brown¬†Rice¬†Crisps¬†Black¬†Sesame¬†100g" u="1"/>
        <s v="DRKARG Classic 3 Seeds Crispbread 200g" u="1"/>
        <s v="DRKARG Spelt &amp; Muesli Crispbread 200g" u="1"/>
        <s v="HTG Organic Brown Rice Crackers Salt &amp; Vinegar 100g" u="1"/>
        <s v="KNUSTFORD Honey &amp; Walnut Lavoush 100g" u="1"/>
        <s v="LBO Almond Crackers Almond Dukkah 100g" u="1"/>
        <s v="LOKA Rosemary &amp; Sea Salt Crackers 120g" u="1"/>
        <s v="MARYSGC Crackers Super Seed Classic 155g" u="1"/>
        <s v="PATS Organic Rice Cakes 150g" u="1"/>
        <s v="PENAT Keto Parmesan Crackers 120g" u="1"/>
        <s v="SPIRAL Black Sesame Rice Crackers 75g" u="1"/>
        <s v="LARDASS Grass Fed Ghee 300g" u="1"/>
        <s v="MUNGALL Mango Greek Yoghurt 375g" u="1"/>
        <s v="MUNGALL Mungallio Cheese 200g" u="1"/>
        <s v="MUNGALL Yoghurt Davidsons Plum Rainforest 500g" u="1"/>
        <s v="PEPESAY Cultured Butter 200g" u="1"/>
        <s v="PLIVING Full Cream Milk 1L" u="1"/>
        <s v="SYMONS Vintage Cheddar 150g" u="1"/>
        <s v="Saint David Cultured Butter Unsalted 190g" u="1"/>
        <s v="BOTCUIS Basil Kale Pesto 325g" u="1"/>
        <s v="AO Organic Prunes 250g" u="1"/>
        <s v="BROOKF Roasted Macadamias Pink Lake Salt 100g" u="1"/>
        <s v="CARBOORH Raw Almond Nuts 125g" u="1"/>
        <s v="DRSUPER Dried Tart Cherries 150g" u="1"/>
        <s v="HFA Hulled Hemp Seeds 114g" u="1"/>
        <s v="HFA Hulled Hemp Seeds 250g" u="1"/>
        <s v="HTG Black Chia Seeds 250g" u="1"/>
        <s v="HTG Black Chia Seeds 500g" u="1"/>
        <s v="HTG Black Sesame Seeds 200g" u="1"/>
        <s v="HTG Hulled Sesame Seeds 200g" u="1"/>
        <s v="HTG Popcorn Kernels 600g" u="1"/>
        <s v="HTG Raisins 200g" u="1"/>
        <s v="LIVEW Activated Cashew 120g" u="1"/>
        <s v="LIVEW Activated Mixed Nuts 300g" u="1"/>
        <s v="LIVEW Activated Mixed Nuts 600g" u="1"/>
        <s v="LIVEW Activated Pecan 120g" u="1"/>
        <s v="LIVEW Activated Sunflower 200g" u="1"/>
        <s v="LIVEW ORG Activated Pepitas 120g" u="1"/>
        <s v="MINDFF Activated Brazil Nuts 150g" u="1"/>
        <s v="MINDFF Activated Walnuts 200g" u="1"/>
        <s v="MINDFF Activated Walnuts 400g" u="1"/>
        <s v="MINDFF Raw Macadamia 125g" u="1"/>
        <s v="POWERSF ORG Chia Seeds 200g" u="1"/>
        <s v="BONDIB Drinking Chocolate" u="1"/>
        <s v="HUMMBLE Awaken Cacao Powder 150g" u="1"/>
        <s v="*SUNNYC Still Water 375ml" u="1"/>
        <s v="ANTIPOD Still Water 1l" u="1"/>
        <s v="BIONA Tart¬†Cherry¬†Juice¬†1lt" u="1"/>
        <s v="BONSOY Sparkling Coconut Water 320ml" u="1"/>
        <s v="BUDERIM Ginger Bioactive Immunity Shot 350ml" u="1"/>
        <s v="CHIAS Cacao and Banana Chia Smoothie 200ml" u="1"/>
        <s v="CHIAS Gut Sparkling Lemon &amp; Golden Kiwi 250ml" u="1"/>
        <s v="COCOBELLA Chocolate Coconut Water 1L" u="1"/>
        <s v="COCOBELLA Coconut Water 1L" u="1"/>
        <s v="DRS Concentrate Tart Cherry Juice 473ml" u="1"/>
        <s v="HOPR Citra Hop Water 375ml" u="1"/>
        <s v="HOPR The Lemon Lime One 375ml" u="1"/>
        <s v="KAKADU Conscious Drink 750ml" u="1"/>
        <s v="KARMA Gingerella Ginger Ale 300ml" u="1"/>
        <s v="MATEO Yerba Mate &amp; Hibiscus Soda 330ml" u="1"/>
        <s v="OH Lemonaid Lemon Ginger Twist" u="1"/>
        <s v="OH Lemonaid Natural Sparkling Lemon" u="1"/>
        <s v="SECRETS Kolesence Sparkling Water 750ml" u="1"/>
        <s v="SECRETS Leumonare Sparkling Water 750ml" u="1"/>
        <s v="TGP Ginger Juice 147ml" u="1"/>
        <s v="BLUEDIN Blueberry Energy Bar 45g" u="1"/>
        <s v="BLUEDIN Paleo Bar Lamington 45g" u="1"/>
        <s v="CRAYV Choc Peanut Butter Protein Bar 45g" u="1"/>
        <s v="FTN Bliss Bar Choc Chip Cookie 40g" u="1"/>
        <s v="FTN Protein Cookie Peanut Crunch 60g" u="1"/>
        <s v="KOOEE Jerky Beef Sea Salt 30g" u="1"/>
        <s v="SEEDW Hemp Energy Bar 90g" u="1"/>
        <s v="SPB Cookies &amp; Cream Protein Bar 60g" u="1"/>
        <s v="SPB Dark Choc Cherry Protein Bar 60g" u="1"/>
        <s v="TRUE Cookies &amp; Cream Protein Bar 63g" u="1"/>
        <s v="HERBSOL Kombucha Lemon Myrtle 330ml" u="1"/>
        <s v="HERBSOL Kombucha Watermelon Mint 330ml" u="1"/>
        <s v="HERBSOL Sauerkraut Beetroot &amp; Ginger 600g" u="1"/>
        <s v="PLV Seaweed Super Kraut 650g" u="1"/>
        <s v="*CHEFSCH Almond Extract 100ml" u="1"/>
        <s v="AKN Cassava Flour 1Kg" u="1"/>
        <s v="BOBSRED Sweet White Sorghum Flour 624g" u="1"/>
        <s v="BOBSRED Tapioca Flour 454g" u="1"/>
        <s v="CERES White Spelt Flour 700g" u="1"/>
        <s v="CHEFSCH Buckwheat Pancake Mix 500g" u="1"/>
        <s v="GFPRECINCT GF Breadcrumbs 400g" u="1"/>
        <s v="HTG Bi-Carb Soda 500g" u="1"/>
        <s v="HTG Flaxseed Meal 500g" u="1"/>
        <s v="STONEYC Golden Flaxseed Meal 500g" u="1"/>
        <s v="MTW Mixed Berries 1kg" u="1"/>
        <s v="OOB Garden Peas 400g" u="1"/>
        <s v="SERIOUSO ORG Mixed Berries 400g" u="1"/>
        <s v="SERIOUSO ORG Strawberries 400g" u="1"/>
        <s v="BYRONGP Pie Organic Chunky Steak GF 220g" u="1"/>
        <s v="BYRONGP Pie Vegan Spelt Curry Lentil 220g" u="1"/>
        <s v="GHF Palak Tofu 700g" u="1"/>
        <s v="Blueberry Punnet" u="1"/>
        <s v="BLULEM Incencse Holder 1u" u="1"/>
        <s v="BLULEM Soy Tealight Candles 10pk" u="1"/>
        <s v="CHEFSCH Baked Beans in Tomato Sauce 400g" u="1"/>
        <s v="CHEFSCH Israeli Pearl Couscous 300g" u="1"/>
        <s v="GLOBAL Brown Lentils TIN 400g" u="1"/>
        <s v="HTG Green Whole Lentils 500g" u="1"/>
        <s v="HTG Tricolour Quinoa 500g" u="1"/>
        <s v="MOUNTZ  Falafel Mix 500g" u="1"/>
        <s v="MOUNTZ  Pearled Farro 500g" u="1"/>
        <s v="CARWARI Japanese Spicy Seasoning" u="1"/>
        <s v="GOURMET Cloves Whole 30g" u="1"/>
        <s v="GOURMET Fenugreek Seeds 30g" u="1"/>
        <s v="KURA Bonito Furikake Seasoning 85g" u="1"/>
        <s v="SO Cinnamon Powder 69g" u="1"/>
        <s v="DOTERRA Essential Oil Touch ClaryCalm 10ml" u="1"/>
        <s v="SHEMANA Heart Activation Bath &amp; Body Oil 100ml" u="1"/>
        <s v="*AURELIO Spicy Salsa 300g" u="1"/>
        <s v="BIPPI Italian chilli Honey 140g" u="1"/>
        <s v="ORGHAR Jalapeno Pepper Sauce 148ml" u="1"/>
        <s v="SPIRAL Salsa Leve 300g" u="1"/>
        <s v="ZIGGYS Hot Sauce Native Davidson Plum &amp; Dorrigo Pepper 200ml" u="1"/>
        <s v="ABODE Wool &amp; Delicates Zero 1L" u="1"/>
        <s v="BIOTUFF Resealable Sandwich Bags 18x17cm x30" u="1"/>
        <s v="KOALA Dish Soap Lemon Myrtle &amp; Mandarin 500ml" u="1"/>
        <s v="KOALA Multi Purpose Kitchen Cleaner Lemon Myrtle Mandarin 500ml" u="1"/>
        <s v="KOALA Multi-Purpose Kitchen Cleaner Lemon Myrtle Mandarin 1L" u="1"/>
        <s v="SCLEAN Dishwash Liquid Lemon Myrtle 1L" u="1"/>
        <s v="SCLEAN Dishwasher Powder Lemon Myrtle 1kg" u="1"/>
        <s v="YUMBAR Mango Ice Cream Sandwich 110g" u="1"/>
        <s v="YUMBAR Multi Pack Fruity" u="1"/>
        <s v="YUMBAR Strawberry Ice Cream Sandwich 110g" u="1"/>
        <s v="SPIRAL Nori Flakes 10g" u="1"/>
        <s v="SPIRAL ORG Miso Genmai 400g" u="1"/>
        <s v="*MATCHAM Matcha Fiery Mix Blend 28.35g" u="1"/>
        <s v="*MATCHAM Matcha Immune Blend 28.35g" u="1"/>
        <s v="MANLYFARM Turmeric Latte Mix 50g" u="1"/>
        <s v="MARUKYU Matcha Powder 100g" u="1"/>
        <s v="PRANCHAI Sticky Chai Masala Blend 250g" u="1"/>
        <s v="NONNAS Butterfly Lamb Leg w Rosemary" u="1"/>
        <s v="NONNAS Chicken Stir Fry Strips" u="1"/>
        <s v="NONNAS Korean Bulgogi Rump Strips 350g" u="1"/>
        <s v="NONNAS ORG Beef Rump Steak" u="1"/>
        <s v="NONNAS Thin Italian Sausages" u="1"/>
        <s v="*SPIRAL Red Wine Vinegar 250 ml" u="1"/>
        <s v="CARWARI Black Sesame Oil Extra Virgin 250ml" u="1"/>
        <s v="HTG Coconut Butter 300g" u="1"/>
        <s v="MOUNTZ Frantoio EV Olive Oil 500ml" u="1"/>
        <s v="PUKARA EV Olive Oil 250ml" u="1"/>
        <s v="VITALO Natural Tallow 250ml" u="1"/>
        <s v="AURELIO Basilico Pasta Sauce 500g" u="1"/>
        <s v="AURELIO Primavera Pasta Sauce 500g" u="1"/>
        <s v="BIPPI Sugo Classico 500g" u="1"/>
        <s v="BERKELO Sourdough Emmer Twist Pasta 400g" u="1"/>
        <s v="CERES GF Quinoa Rice Fusilli 250g" u="1"/>
        <s v="GIROLO Durum Wheat Conchiglie 500g" u="1"/>
        <s v="GIROLO Durum Wheat Fusilli 500g" u="1"/>
        <s v="GIROLO Spelt Fusilli 500g" u="1"/>
        <s v="GIROLO Spelt Spaghetti 500g" u="1"/>
        <s v="GIROLO Whole Durum Wheat Spaghetti 500g" u="1"/>
        <s v="HAKUBAK Noodles Green Tea 200g" u="1"/>
        <s v="HTG Zoo Pasta Tomato Spinach 500g" u="1"/>
        <s v="KINGSOBA 100% Brown Rice Ramen Noodles 280g" u="1"/>
        <s v="KURA Konjac Shirataki Flat Noodles 270g" u="1"/>
        <s v="NCHOICE Instant Noodles Brown Rice Miso 60g" u="1"/>
        <s v="NCHOICE Instant Noodles Brown Rice Mushroom 60g" u="1"/>
        <s v="OGO GF 3 Grains Spaghetti 300g" u="1"/>
        <s v="SPIRAL ORG Miso Instant Ramen 116g" u="1"/>
        <s v="SPIRAL ORG Shoyu Instant Ramen 116g" u="1"/>
        <s v="SPIRAL Soba Noodles 300g" u="1"/>
        <s v="BASSBC Deluxe Hand Glove 1u" u="1"/>
        <s v="BLACKC Axilla Deodorant Barrier Booster Paste 75g" u="1"/>
        <s v="DRBRON Lavender Bar Soap 140g" u="1"/>
        <s v="DRORG Tea Tree Toothpaste 100ml" u="1"/>
        <s v="DRORGAN Roll-on Deodorant Aloe Vera 50ml" u="1"/>
        <s v="EPZEN Body Butter Hydrating 150ml" u="1"/>
        <s v="EPZEN Magnesium Body Lotion Relax 100ml" u="1"/>
        <s v="EVERECO Konjac Facial Sponge Original" u="1"/>
        <s v="FIN Balancing Rosemary Conditioner 400ml" u="1"/>
        <s v="FIN Rejuvenating Aloe Vera Shampoo 400ml" u="1"/>
        <s v="GOBAMBOO Toothbrush Adult 1u" u="1"/>
        <s v="GOODIESG Magnesium Bath Flakes 750g" u="1"/>
        <s v="HOTRESS Rehab Shampoo Cleanse Me 250ml" u="1"/>
        <s v="JACKJIL Flavour Free Fluoride Free Toothpaste 50g" u="1"/>
        <s v="JACKJIL Natural Bathtime Detangler and Leave-In Conditioner 200ml" u="1"/>
        <s v="JACKJIL Raspberry Fluoride Free Toothpaste 50g" u="1"/>
        <s v="JUNIPER Calming Jojoba Moisturiser 250ml" u="1"/>
        <s v="JUNIPER Sensitive Cleansing Lotion 125ml" u="1"/>
        <s v="JUNIPER Ultra Calm Replenishing Cream 50ml" u="1"/>
        <s v="LUVME Water Eco Wipe 12pk" u="1"/>
        <s v="MAHARISHI Ayurdent Classic Toothpaste 75ml" u="1"/>
        <s v="NOOSABA Cocoa Butter Ultra Rich Skin Cream 120ml" u="1"/>
        <s v="NOOSABA Foaming Face Wash Acne All Types 150ml" u="1"/>
        <s v="NOOSABA Rose &amp; Frankincense Deodorant Spray 100ml" u="1"/>
        <s v="NOPONG Flower Power Low-bicarb Deodorant 35g" u="1"/>
        <s v="OYC Beauty Cotton Pads 70u" u="1"/>
        <s v="PEACHIE Lavender &amp; Clay Soap 110g" u="1"/>
        <s v="PEACHIE Spearmint &amp; Poppyseed Soap 110g" u="1"/>
        <s v="ROCC Mint Coconut Oil Toothpaste 100g" u="1"/>
        <s v="ROCC River Mint Green Tea Toothpaste 100g" u="1"/>
        <s v="SWAP The O.G. Shampoo Bar 135g" u="1"/>
        <s v="TGOODO Argan Oil Hair Reconstruction Shampoo 250ml" u="1"/>
        <s v="WELEDA Baby Shampoo &amp; Body Wash Calendula 200ml" u="1"/>
        <s v="WELEDA Skin Food Face Care Nourishing Night Cream 40ml" u="1"/>
        <s v="*ORGPAWS Roo Sliders Dog/Cat Treats 100g" u="1"/>
        <s v="BUGSY Beef Dog Food 328g" u="1"/>
        <s v="PETBOT Lamb Puffs Pet Treats 50g" u="1"/>
        <s v="*CHEFSCH Capers 950g" u="1"/>
        <s v="BBO Green Olives Spread Tapen 200g" u="1"/>
        <s v="CERES Capers 100g" u="1"/>
        <s v="CERES Tomato Basil Soup 400g (Can)" u="1"/>
        <s v="GOODFIS Sardine EVO Oil Jar 195g" u="1"/>
        <s v="GOODFIS Tuna EVO Oil Can 120g" u="1"/>
        <s v="SAFECAT Wild Yellowfin Tuna in Avocado Oil 142g" u="1"/>
        <s v="TSM MSC Tuna In Evoo 120g" u="1"/>
        <s v="TSM OEVOO Anchovies 48g" u="1"/>
        <s v="WSS Neptune Red Snapper 280g" u="1"/>
        <s v="CHURCHF Thai Red Curry Paste 180g" u="1"/>
        <s v="MINGLE Butter Chicken Base 30g" u="1"/>
        <s v="MINGLE Satay Base 30g" u="1"/>
        <s v="MINGLE Sri Lankan Curry Base 30g" u="1"/>
        <s v="TSM Mexican Rice Cooked in Bone Broth 250g" u="1"/>
        <s v="TOPWIL Coconut Amino Sweet &amp; Salty 250ml" u="1"/>
        <s v="*ESCUMINAC Extra Rare Maple Syrup 200ml" u="1"/>
        <s v="BIONA Organic Apricot Spread 250g" u="1"/>
        <s v="CARWAR Light Agave Nectar 350g" u="1"/>
        <s v="CDS Smooth Peanut Butter 300g" u="1"/>
        <s v="DALHOUSE Blueberry Jam 285g" u="1"/>
        <s v="DALHOUSE Raspberry Jam 285g" u="1"/>
        <s v="HTG Blackstrap Molasses 450g" u="1"/>
        <s v="KINGI Pure Manuka Honey 829+MGO 250g" u="1"/>
        <s v="NIRVANA Stevia Liquid Concentrate 30ml" u="1"/>
        <s v="CHIEF Grass Fed Collagen Protein Dark Chocolate Powder 450g" u="1"/>
        <s v="COMVITA Propolis Oral Spray 20ml" u="1"/>
        <s v="HW Vegan Protein Water Sour Berry 420g" u="1"/>
        <s v="LIFECYK Turkey Tail Extract Liquid 60ml" u="1"/>
        <s v="MELROSE MCT Oil Kick Start 250ml" u="1"/>
        <s v="MINDFF Beetroot Powder 150g" u="1"/>
        <s v="MINDFF Hibiscus 220g" u="1"/>
        <s v="MORIFE Blue Spirulina Powder 50g" u="1"/>
        <s v="MWU Supergut Protein Swiss Chocolate 400g" u="1"/>
        <s v="NATURALL Propolis &amp; Manuka Honey Candies 40pcs" u="1"/>
        <s v="NFS Glow State Sea Moss Gel 500ml" u="1"/>
        <s v="NUTRAO Marine Collagen Beauty 225g" u="1"/>
        <s v="NUTRAO Natural Gelatin 300g" u="1"/>
        <s v="POWERSF Plant Protein Vanilla 400g" u="1"/>
        <s v="STARD Blue Immunity 120g" u="1"/>
        <s v="STARD Plant Protein Chocolate 450g" u="1"/>
        <s v="STARD Yellow Anti-inflammatory 120g" u="1"/>
        <s v="TRUE WPI 90 Chocolate Protein Powder 360g" u="1"/>
        <s v="TRUE WPI 90 Natural Protein Powder 1kg" u="1"/>
        <s v="ZEBH Activated Coconut Charcoal 75g" u="1"/>
        <s v="BUDDHAT Milk Thistle Tea 18tb" u="1"/>
        <s v="BUDDHAT Zen Cleanse Tea 18tb" u="1"/>
        <s v="CERES Lemon &amp; Ginger Tea 20tb" u="1"/>
        <s v="ETS Chamomile &amp; Lavender Tea 20tb" u="1"/>
        <s v="ETS Peppermint Tea 20tb" u="1"/>
        <s v="MINDFF Fire Starter Tea 80g" u="1"/>
        <s v="MINDFF Immuni-Tea 110g" u="1"/>
        <s v="MOT Turmeric, Liquorice &amp; Ginger 20pk" u="1"/>
        <s v="ORGIND Tulsi Ashwagandha Tea 25tb" u="1"/>
        <s v="ORGIND Tulsi Lemon Ginger Tea Bags 25s" u="1"/>
        <s v="ORGIND Tulsi Loose Leaf Tea 100g" u="1"/>
        <s v="QITEA Green tea 25tb" u="1"/>
        <s v="TFCCO Original Sticky Chai 250g" u="1"/>
        <s v="XOTEA Hibiscus Hydration Tea 25tb" u="1"/>
        <s v="CERES Coconut Rolls Original 80g" u="1"/>
        <s v="GIMME Roasted Seaweed Snacks Grab &amp; Go Sea Salt 5x4g" u="1"/>
        <s v="HSS Roasted Seaweed Snacks Sesame 5g" u="1"/>
        <s v="BOTCUIS Classic Macadamia Cheese 295g" u="1"/>
        <s v="ESF Bio-dynamic Firm Tofu 375g" u="1"/>
        <s v="Celery" u="1"/>
        <s v="Kale Green Bunch" u="1"/>
        <s v="Mushroom 180g" u="1"/>
        <s v="Red Potato" u="1"/>
        <s v="Silverbeet" u="1"/>
        <s v="Mini Magic Box" u="1"/>
        <s v="*Pandas Sage Swim Nappy" u="1"/>
        <s v="BUBS Baby Food Pear &amp; White Grapes 120g" u="1"/>
        <s v="BUBS Smiley Squares Mango and Purple Carrot 14g" u="1"/>
        <s v="LITTLEO Goat Milk Formula Stage 2 Sachet 6x30g" u="1"/>
        <s v="ANCHARV Wraps Keto 180g" u="1"/>
        <s v="FARRO Spelt Vegan Margherita Pizza 10in" u="1"/>
        <s v="MESSY Fruit &amp; Nut 780g" u="1"/>
        <s v="NATURIS Bread Fruit and Nut GF 680g" u="1"/>
        <s v="NATURIS Bread Wholemeal Spelt Low FM 360g" u="1"/>
        <s v="SPIRAL Organic Brown Rice Paper 200g" u="1"/>
        <s v="*FTN Sprouted Clusters Lemon &amp; Blue 400g" u="1"/>
        <s v="*PALEOH Primal Muesli 750g" u="1"/>
        <s v="BLUEFRO Almond Butter &amp; Vanilla Bean Keto Muesli 300g" u="1"/>
        <s v="BOBSREDM GF Mighty Tasty Multi Grain Porridge 680g" u="1"/>
        <s v="KIALLA Rolled Oats 500g" u="1"/>
        <s v="MINDFF Birchia Paleo Probiotic 500g" u="1"/>
        <s v="MINDFF Caramel Wattleseed &amp; Coffee Clusters 350g" u="1"/>
        <s v="MINDFF Granola Eros Love &amp; Vitality 200g" u="1"/>
        <s v="NATPATH Organic Heritage Flakes 375g" u="1"/>
        <s v="BESTBON Bone Broth Concentrate Probiotic Coconut Lemon Myrtle 390g" u="1"/>
        <s v="CHERRYT Chicken Bone Broth 1L" u="1"/>
        <s v="GEVITY Bone Broth Lemon &amp; Herb 390g" u="1"/>
        <s v="NUTRAO Vegetable Broth Miso Ramen 125g" u="1"/>
        <s v="SANELK Artesian Beef Bone Stock 160g" u="1"/>
        <s v="SANELK Artesian Vegetable Stock 160g" u="1"/>
        <s v="TSM Tallow Beef Broth 275g" u="1"/>
        <s v="UNFCO Vegetable Broth 500ml" u="1"/>
        <s v="HTG Cacao¬†Nibs 200g" u="1"/>
        <s v="HTG Cacao¬†Powder¬†750g" u="1"/>
        <s v="MINDFF Cacao Powder 440g" u="1"/>
        <s v="DANDIES Vegan Marshmallow Large 283g" u="1"/>
        <s v="PUR Coolmint Chewing Gum 12.6g" u="1"/>
        <s v="PUR Polar Mints 30g" u="1"/>
        <s v="PUR Spearmint Chewing Gum 12.6g" u="1"/>
        <s v="PUR Spearmint Chewing Gum 77g" u="1"/>
        <s v="TGP Ginger Hard Candy Super Strength Box 84g" u="1"/>
        <s v="BITEME Falafel Bites 300g" u="1"/>
        <s v="CERES Cheesy Onion Crispy Rice Clouds 50g" u="1"/>
        <s v="CERES Salt &amp; Vinegar Pea Chips 100g" u="1"/>
        <s v="FOXPOPS Popped Water Lily Seeds Sour Cream &amp; Onion 28g" u="1"/>
        <s v="PROPERC Potato Chips Cider Vinegar 40g" u="1"/>
        <s v="PROPERC Potato Chips Rosemary and Thyme 150g" u="1"/>
        <s v="ALTEREC Choc Bar Almond Blackout 75g" u="1"/>
        <s v="BANJO Bears Plain 15g" u="1"/>
        <s v="DRSUPER Wild Blueberries Dark Chocolate 125g" u="1"/>
        <s v="LOLO Lovers Gift Box 9 Pieces" u="1"/>
        <s v="EVEW Unwind Latter 120g" u="1"/>
        <s v="HARIO Filter Paper for V60 100u" u="1"/>
        <s v="LOCAKO Collagen Creamer Natural 300g" u="1"/>
        <s v="GEO Mango Chutney 300g" u="1"/>
        <s v="MULLUM Habanero &amp; Lime Mayo 235g" u="1"/>
        <s v="BOBOND GF Scotch Finger 175g" u="1"/>
        <s v="LBO Good Macaroons Chocolate Raspberry 125g" u="1"/>
        <s v="FINEFET Olive Toasties 110g" u="1"/>
        <s v="PENAT Garlic &amp; Balck Pepper Nut &amp; Seed Crackers 120g" u="1"/>
        <s v="PENAT Nude Nut &amp; Seed Crackers 120g" u="1"/>
        <s v="*MUNGALL Yoghurt Passionfruit 500g" u="1"/>
        <s v="MUNGALL Italian Herb Cheese 200g" u="1"/>
        <s v="PEPESAY Cultured Unsalted Butter 200g" u="1"/>
        <s v="SCHULZ Low Fat Milk Unhomogenised 2L" u="1"/>
        <s v="SCHULZ Pure Cream 200g" u="1"/>
        <s v="SYMONS Cheddar 500g" u="1"/>
        <s v="SYMONS Mozzarella 250g" u="1"/>
        <s v="SYMONS Ploughman's Cheese 150g" u="1"/>
        <s v="CHOPSHOP MILD Norciana Sliced Salami" u="1"/>
        <s v="2die4 Activated Pepitas 100g" u="1"/>
        <s v="BROOKF Brothers Blend Entertainer 75g" u="1"/>
        <s v="BROOKF Roasted Macadamias Saltbush 100g" u="1"/>
        <s v="HTG Almonds Blanched Flaked 150g" u="1"/>
        <s v="HTG Brazil Nut Kernels 200g" u="1"/>
        <s v="HTG Coconut Flakes 125g" u="1"/>
        <s v="HTG Coconut Whipping Cream 400ml" u="1"/>
        <s v="LIVEW Activated Cashew 300g" u="1"/>
        <s v="LIVEW Activated Walnuts 120g" u="1"/>
        <s v="MINDFF Maple Munchies 420g" u="1"/>
        <s v="MINDFF ORG Activated Pecans 220g" u="1"/>
        <s v="CCACAO 100% Ceremonial Cacao Pieces 500g" u="1"/>
        <s v="POWERSF Dreamy Drinking Chocolate 180g" u="1"/>
        <s v="STC Matcha Mint Cacao Powder 250g" u="1"/>
        <s v="ALOEAUS ALO Aloe Juice +20 Herbs 1L" u="1"/>
        <s v="ALOEAUS ALO Aloe Juice Digestion 1L" u="1"/>
        <s v="COCOBELLA Coconut Water Straight Up 250ml" u="1"/>
        <s v="DAYSE Non-Alcoholic Ginger Spritz 330ml" u="1"/>
        <s v="HOPR Mango Hop Water 375ml" u="1"/>
        <s v="JIVA Reset Tonic 100ml" u="1"/>
        <s v="KARMA Orange &amp; Apple Juice 300ml" u="1"/>
        <s v="KOMBREW PassionFruit Elixir Kombucha 750ml" u="1"/>
        <s v="MAPLE3 Maple Water 500m;" u="1"/>
        <s v="SIMJUI Cleanse Superfood Prebiotic Juice 325ml" u="1"/>
        <s v="SIPCOC Pineapple Coconut Water 330ml" u="1"/>
        <s v="UTHRIVE Blood Orange Hydration Drink 330ml" u="1"/>
        <s v="BLUEDIN Protein Bar Cookie Dough 60g" u="1"/>
        <s v="CHIEF Choc Coated Salted Caramel Collagen Bar 45g" u="1"/>
        <s v="KOOEE Jerky Beef Smoked Chipotle 30g" u="1"/>
        <s v="MAXD Wellness Square Double Choc Crunch 40g" u="1"/>
        <s v="AO Sauerkraut 680g" u="1"/>
        <s v="KIMCHIC Fermented Garlic 140g" u="1"/>
        <s v="KIMCHIC Naked Kimchi 350g" u="1"/>
        <s v="BOBSRED Brownie Mix GF 595g" u="1"/>
        <s v="CHEFSCH Pure Vanilla Bean Paste 100g" u="1"/>
        <s v="FTN Chocolate Cake Mix 400g" u="1"/>
        <s v="HTG Baking Powder Gluten and Aluminium Free 300g" u="1"/>
        <s v="HTG Blanched Almond Meal 200g" u="1"/>
        <s v="KURA Panko Breadcrumbs 180g" u="1"/>
        <s v="MTELEP Pancake Mix Vanilla 230g" u="1"/>
        <s v="PBCO Chunky Choc Chip Cookie Mix No Sugar Added 320g" u="1"/>
        <s v="ELGIN Frozen Broccoli Florets 500g" u="1"/>
        <s v="ELGIN Frozen Carrot Corn Peas 600g" u="1"/>
        <s v="ELGIN Frozen Spinach 600g" u="1"/>
        <s v="CAREME Puff Pastry Sheet 375g" u="1"/>
        <s v="CAREME Spelt Butter Puff Pastry Sheet 375g" u="1"/>
        <s v="FUNKP No Wurry Curry Pie Pie 180g" u="1"/>
        <s v="PDS Smoothing Body Scrub Grape 280ml" u="1"/>
        <s v="BASQUE Indian Dhal 325g" u="1"/>
        <s v="BASQUE Moroccan Lentils 325g" u="1"/>
        <s v="CHEFSCH Basmati Brown Rice 1Kg" u="1"/>
        <s v="CHEFSCH Brown Rice 500g" u="1"/>
        <s v="CHEFSCH Organic Mix Quinoa 1kg" u="1"/>
        <s v="CHEFSCH South Indian Coconut Style Dahl 170g" u="1"/>
        <s v="GLOBAL Chickpeas No-Added Salt TIN 400g" u="1"/>
        <s v="HTG Aus Sushi Rice 1.5Kg" u="1"/>
        <s v="HTG Black Beluga Lentils TIN 400g" u="1"/>
        <s v="HTG Brown Jasmine Rice 650g" u="1"/>
        <s v="HTG Four Bean Mix TIN 400g" u="1"/>
        <s v="MOUNTZ  Beluga Black Lentils 500g" u="1"/>
        <s v="CHEFSCH Pink Fine Salt Sprinkler 200g" u="1"/>
        <s v="GOURMET Cayenne Pepper 30g" u="1"/>
        <s v="GOURMET Turmeric Ground 40g" u="1"/>
        <s v="MINDFF Celtic Sea Salt 420g" u="1"/>
        <s v="MINDFF Cinnamon Powder 120g" u="1"/>
        <s v="MINDFF Yeast Flakes 140g" u="1"/>
        <s v="OLSSONS Kosher Medium Sea Salt Rub 500g" u="1"/>
        <s v="OLSSONS The Wild Thing Salt Rub 100g" u="1"/>
        <s v="SPIRAL Minced Garlic 220g" u="1"/>
        <s v="DOTERRA Essential Oil Easy Air 15ml" u="1"/>
        <s v="DOTERRA Essential Oil Touch Lavender 10ml" u="1"/>
        <s v="SHEMANA Crystal Clearing Aura &amp; Atmosphere Mist 100ml" u="1"/>
        <s v="SHEMANA Dream Therapy Aura &amp; Atmosphere Mist 100ml" u="1"/>
        <s v="AURELIO Mild Salsa 300g" u="1"/>
        <s v="ORGHAR Chipotle Habanero Pepper Sauce 148ml" u="1"/>
        <s v="ORGHAR Habanero Pepper Sauce 148ml" u="1"/>
        <s v="SPIRAL Salsa Brava 300g" u="1"/>
        <s v="DOTERRA Lemon Eucalyptus Laundry Detergent 1L" u="1"/>
        <s v="DOTERRA On Guard Cleaner Concentrate 355ml" u="1"/>
        <s v="DOTERRA On Guard Laundry Liquid 947ml" u="1"/>
        <s v="ECOCO Scourer Scrub Pad 2u" u="1"/>
        <s v="EUCLOVE Natural Linen Spray 300ml" u="1"/>
        <s v="KOALA Glass Cleaner Peppermint 500ml" u="1"/>
        <s v="KOALA Multi-Purpose Kitchen Cleaner Orange 500ml" u="1"/>
        <s v="SCLEAN Wool &amp; Delicates Wash Eucalyptus 1L" u="1"/>
        <s v="VLE Greezy Off 500ml" u="1"/>
        <s v="WGAC Bamboo Tissue" u="1"/>
        <s v="WGAC Toilet paper 6 rolls pack" u="1"/>
        <s v="WMAG Garbage Bags 20 x 50L" u="1"/>
        <s v="WMAG Garbage Bags 35 x 20L" u="1"/>
        <s v="YUMBAR Camarel Cream Sandwich 110g" u="1"/>
        <s v="CARWARI Red Miso 500g" u="1"/>
        <s v="KURA Bamboo Sushi Mat 1u" u="1"/>
        <s v="SPIRAL Instant Miso 10g x 5" u="1"/>
        <s v="SPIRAL Kombu Shiitake Dashi VEGAN 10gx8" u="1"/>
        <s v="NONNAS Chicken Peri Peri Kebab 400g" u="1"/>
        <s v="NONNAS Half FR Chicken French Garlic" u="1"/>
        <s v="NONNAS Thick Italian Sausages " u="1"/>
        <s v="NONNAS Wagyu Beef Burger" u="1"/>
        <s v="NONNAS kids Chicken Schnitzel" u="1"/>
        <s v="AURELI Caramelised Balsamic 250ml" u="1"/>
        <s v="AUSHARV Horseradish Vinegar 350ml" u="1"/>
        <s v="BRAGG Apple Cider Vinegar 473ml" u="1"/>
        <s v="BRAGG Apple Cider Vinegar 946ml" u="1"/>
        <s v="SPIRAL Sesame Oil 250ml" u="1"/>
        <s v="UMAMIB Premium Cloudy Cooking Sake 150ml" u="1"/>
        <s v="*SNP Dirty Martini Pasta Sauce 375ml" u="1"/>
        <s v="CERES Chopped Tomatoes 400g" u="1"/>
        <s v="HTG Whole Peeled Tomatoes 400g" u="1"/>
        <s v="SPIRAL Arrabbiata Sugo Pasta Sauce 709g" u="1"/>
        <s v="SPIRAL Pasta Sauce Arrabbiata 375g" u="1"/>
        <s v="SPIRAL Pasta Sauce Fungi 375g" u="1"/>
        <s v="*GIROLO Durum Wheat Lasagne 500g" u="1"/>
        <s v="*Otway Fettucine 375g" u="1"/>
        <s v="BERKELO Sourdough Penne Pasta 400g" u="1"/>
        <s v="GIROLO Whole Durum Wheat Penne 500g" u="1"/>
        <s v="HAKUBAK Noodles Somen 270g" u="1"/>
        <s v="KINGSOBA Thai Rice Noodles 250g" u="1"/>
        <s v="PASTAN GF Amaranth Teff Quinoa Shells 250g" u="1"/>
        <s v="SNP Pipette Pasta 375g" u="1"/>
        <s v="SNP Trottoloni Pasta 375g" u="1"/>
        <s v="SPIRAL Udon Noodles 300g" u="1"/>
        <s v="*DRORGAN Calendula Top To Toe Baby Wash 250ml" u="1"/>
        <s v="*JACKJIL Blissful Bubbles Bath &amp; Magic 300ml" u="1"/>
        <s v="*WOTNOT Natural Face Sunscreen SPF 40 Nude 60g" u="1"/>
        <s v="ALOPURA Aloe Vera Gel 200ml" u="1"/>
        <s v="DOTERRA Ice Blue Rub 120ml" u="1"/>
        <s v="DRORG Castor Oil 100% Pure 250ml" u="1"/>
        <s v="DRORGAN Conditioner Coconut Oil 265ml" u="1"/>
        <s v="DRORGAN Deodorant Roll On Lavender 50ml" u="1"/>
        <s v="DRORGAN Face Wash Activated Charcoal 200ml" u="1"/>
        <s v="DRORGAN Shampoo Coconut Oil 265ml" u="1"/>
        <s v="DRORGAN Toothpaste Activated Charcoal 100ml" u="1"/>
        <s v="EPZEN Magnesium Bath Crystals Sleep 900g" u="1"/>
        <s v="EWISEN Baby Bedtime Bath 275ml" u="1"/>
        <s v="EWISEN Baby Body Wash 275ml" u="1"/>
        <s v="EWISEN Body Wash Coconut Shea Butter Manuka Honey 1L" u="1"/>
        <s v="FIN Rejuvenating Aloe Vera Conditioner 400ml" u="1"/>
        <s v="GEM Floss Picks On The Go Tin 30pcs" u="1"/>
        <s v="HINU Jade Scalp Stimulator 1u" u="1"/>
        <s v="HOTRESS Leave-in Treatment 150ml" u="1"/>
        <s v="HOTRESS Purple Conditioner 250ml" u="1"/>
        <s v="JACKJIL Baby Gum &amp; Tooth Wipes" u="1"/>
        <s v="JACKJIL Silicone Baby Toothbrush 1u" u="1"/>
        <s v="JACKJIL Silicone Finger Brush 2pk" u="1"/>
        <s v="JACKJIL Teething Gel 4 Months" u="1"/>
        <s v="JUNIPER Anxius Aromatherapy Blend 10ml" u="1"/>
        <s v="JUNIPER Intensive Body Lotion 250ml" u="1"/>
        <s v="JUNIPER Moisture Rich Hydrating Cream 50ml" u="1"/>
        <s v="JUNIPER Nourishing Cream Cleanser 125ml" u="1"/>
        <s v="JUNIPER Oil Balancing Cleanser 125ml" u="1"/>
        <s v="NAKED Love Tallow Cream 180ml" u="1"/>
        <s v="NAKED Original Tallow Cream 220ml" u="1"/>
        <s v="NOOSABA Rose Frankincense Deodorant Stick 60g" u="1"/>
        <s v="NOPONG Cool lavender Bicarb Free Deodorant 35g" u="1"/>
        <s v="PEACHIE Patchouli &amp; Pink Clay Soap 110g" u="1"/>
        <s v="SLS All Hail Hydration Moisture Repair Conditioner 350ml" u="1"/>
        <s v="TGOODO Argan Hair as Strong as Rope Oil 135ml" u="1"/>
        <s v="WELEDA Gentle Cleansing Foam Witch Hazel 150ml" u="1"/>
        <s v="ORGPAWS Chicken dog/Cat Food Recipe 2.2Kg" u="1"/>
        <s v="AO Garden Peas 350g" u="1"/>
        <s v="CERES Sliced Gherkins Round Cut 670g" u="1"/>
        <s v="CHEFSCH ORG Preserved Lemon 350g" u="1"/>
        <s v="WOODSTK Khoser Baby Dill Pickles 710ml" u="1"/>
        <s v="Lettuce Cos " u="1"/>
        <s v="MAR Sardines in Brine 120g" u="1"/>
        <s v="CERES Red Thai Curry Paste 175g" u="1"/>
        <s v="CERES Yellow Thai Curry Paste 175g" u="1"/>
        <s v="CHURCHF Thai Green Curry Paste 180g" u="1"/>
        <s v="MEKHALA Vegan Laksa Paste 100g" u="1"/>
        <s v="TULLYZK Masala Curry Simmer Sauce 375g" u="1"/>
        <s v="Pumpkin Soup" u="1"/>
        <s v="SPIRAL Soy Sauce 200ml" u="1"/>
        <s v="BEETEMP Blood Wood Raw Honey 500g" u="1"/>
        <s v="CERES Sunflower Seed Butter 220g" u="1"/>
        <s v="EVERYM Everymite Original 240g" u="1"/>
        <s v="EVERYM Reduced Aussie Salt 150g" u="1"/>
        <s v="HTG Raw Sugar 700g" u="1"/>
        <s v="HTG Xylitol 600g" u="1"/>
        <s v="MANDOLEO Smooth Unsalted Almond Butter 250g" u="1"/>
        <s v="R&amp;W ORG Strawberry Jam 320g" u="1"/>
        <s v="SAWEETW Pure Allulose Natural Sweetener Granules 200g" u="1"/>
        <s v="TLD Frenchs Forest Raw Honey 500g" u="1"/>
        <s v="COMVITA Olive Leaf Lozenges With Manuka" u="1"/>
        <s v="HTG Psyllium Husks 200g" u="1"/>
        <s v="HTG Slippery¬†Elm¬†Powder¬†100g" u="1"/>
        <s v="IMBIBE Beauty Renewal Probiotic 500ml" u="1"/>
        <s v="LIFECYK Lion's Mane Double Extract Liquid 120ml" u="1"/>
        <s v="MINDFF Fungi Chaga 100g" u="1"/>
        <s v="MINDFF Fungi Cordyceps 100g" u="1"/>
        <s v="MINDFF Kelp Meal¬†180g" u="1"/>
        <s v="MINDFF Psyllium Husks 400g" u="1"/>
        <s v="MWU Collagen Restore w/ Bimuno 270g" u="1"/>
        <s v="NUTRAO Berry Immune 125g" u="1"/>
        <s v="SODII Everyday Hydration Salts Salty Kiwi 30pk" u="1"/>
        <s v="SODII Everyday Hydration Salts Unflavoured 30pk" u="1"/>
        <s v="STARD Green Detoxify 120g" u="1"/>
        <s v="STARD Red Longevity 120g" u="1"/>
        <s v="TRUE Collagen Natural 300g" u="1"/>
        <s v="TRUE WPI 90 Banana &amp; Honey Protein Powder 1kg" u="1"/>
        <s v="*ETS Wellness Tea Energize Me 20pc" u="1"/>
        <s v="BUDDHAT Ashwagandha Tea 18tb" u="1"/>
        <s v="CERES Tea English Breakfast 20b" u="1"/>
        <s v="ETS Decaffeinated Black Tea 20tb" u="1"/>
        <s v="MANLYFARM Love Blend Loose Leaf Tea 30g" u="1"/>
        <s v="MINDFF Yerba Mate 300g" u="1"/>
        <s v="MOT Bombay Masala Chai tea 20tb" u="1"/>
        <s v="MOT Earl Grey Tea 20tb" u="1"/>
        <s v="MOT Lemon &amp; Ginger Infusion Tea 20tb" u="1"/>
        <s v="MOT The Big Sleep Tea 20tb" u="1"/>
        <s v="ORGIN Tulsi Jasmine Tea 25tb" u="1"/>
        <s v="ORGIN Tulsi Pomegranate Green Tea 25tb" u="1"/>
        <s v="TFCCO Vegan Original Sticky Chai 250g" u="1"/>
        <s v="HSS Roasted Seaweed Snacks Sea Salt 5g" u="1"/>
        <s v="HTG Coconut Milk Powder 300g" u="1"/>
        <s v="NUTRSOY Firm Tofu 750g" u="1"/>
        <s v="PRIMSOY Tempeh Chilli 225g" u="1"/>
        <s v="PUREHAR Unsweetened Oat Milk 1L" u="1"/>
        <s v="Beans 250g" u="1"/>
        <s v="English Spinach" u="1"/>
        <s v="Fennel" u="1"/>
        <s v="Leek" u="1"/>
        <s v="Shallot Bunch" u="1"/>
        <s v="rituwl mist" u="1"/>
        <s v="*NUTRAO Drinking Choc Whiz 250g" u="1"/>
        <s v="BUBS Baby Food Berry Banana Bircher Muesli 120g" u="1"/>
        <s v="BUBS Smiley Squares Pear and Beetroot 14g" u="1"/>
        <s v="HOLLE Banana, Apple, Mango &amp; Apricot 100g" u="1"/>
        <s v="NUTRAO Gusty Gummies Mango Mix 150g" u="1"/>
        <s v="BAKERSC GF Pizza Base" u="1"/>
        <s v="NUCO Cassava Wraps 55g" u="1"/>
        <s v="PURELIF Sprouted Bread Essene Supreme 1kg" u="1"/>
        <s v="BLUEFRO Raspberry Vanilla and Chia Granola 350g" u="1"/>
        <s v="GOODMC Amaranth Puff 200g" u="1"/>
        <s v="GOODMC Buckwheat Puff 125g" u="1"/>
        <s v="Grumpy Bums Porridge Banana 300g" u="1"/>
        <s v="KIALLA Quick Oats 500g" u="1"/>
        <s v="MINDFF Berry Buckies 300g" u="1"/>
        <s v="MINDFF Caramel Buckies 400g" u="1"/>
        <s v="NONIES Roasted Hazelnut Muesli 750g" u="1"/>
        <s v="PALEOH Vegan Muesli 400g" u="1"/>
        <s v="BESTBON Bone Broth Concentrate Mushroom 390g" u="1"/>
        <s v="DANDIES Vegan Marshmallow Mini 283g" u="1"/>
        <s v="PUR Cinnamon Chewing Gum 12.6g" u="1"/>
        <s v="PUR Strawberry Orange Banana Gum 81g" u="1"/>
        <s v="TRUEG Raspberry Vanilla Chewing Gum 16u" u="1"/>
        <s v="WELLIBITES Elderflower &amp; Raspberry Lollies 70g" u="1"/>
        <s v="YUMEART GF Black Licorice 142g" u="1"/>
        <s v="FOXPOPS Popped Water Lily Seeds Peanut Butter 28g" u="1"/>
        <s v="SERIOUSF Pea Puff Sea Salt 100g" u="1"/>
        <s v="SERIOUSF Popcorn Sea Salt 70g" u="1"/>
        <s v="BENNETT Choc Bar Mint 80g" u="1"/>
        <s v="BENNETT Choc Bar super Dark 82% Choc 80g" u="1"/>
        <s v="LZF Keto Mylk Choc Bar 85g" u="1"/>
        <s v="MONSIEURT 70% Dark Native Plum Choc Bar 80g" u="1"/>
        <s v="MONSIEURT 70% Dark Salted Pistachio Choc Bar 80g" u="1"/>
        <s v="MONSIEURT 70% Dark Tasman Salt Choc Bar 80g" u="1"/>
        <s v="MONSIEURT 70% Espresso Martini Choc Bar 80g" u="1"/>
        <s v="VEGO Whole Hazelnut Choc Bar Mini 65g" u="1"/>
        <s v="CLIPPER Coffee Super Special 100g" u="1"/>
        <s v="CLIPPER Decaf Coffee Super Special Instant 100g" u="1"/>
        <s v="BEERENBERG Apple Sauce 160g" u="1"/>
        <s v="CRUMBLE Cocoa Dream Wheel 60g" u="1"/>
        <s v="CRUMBLE Hazlenut Wheel 60g" u="1"/>
        <s v="SERIOUSF Double Choc Cookies 170g" u="1"/>
        <s v="CERES Black Rice Cakes Lightly  Salted 110g" u="1"/>
        <s v="ETL Buckwheat Cake with Plant Omegas 100g" u="1"/>
        <s v="BLUEBAY Gruyere 200g" u="1"/>
        <s v="MUNGALL Quark 325g" u="1"/>
        <s v="MUNGALL Yoghurt Mango 500g" u="1"/>
        <s v="SYMONS Camembert Soft Cheese 200g" u="1"/>
        <s v="DRSUPER Dried Cranberries 125g" u="1"/>
        <s v="HTG Almonds Raw Insecticide-Free 1Kg" u="1"/>
        <s v="HTG Dried Cranberries 200g" u="1"/>
        <s v="HTG Dried Sultanas 200g" u="1"/>
        <s v="KIALLA Popcorn Kernels 400g" u="1"/>
        <s v="LIVEW Activated Brazil Nuts 120g" u="1"/>
        <s v="HUMMBLE Elevate Cacao Powder 150g" u="1"/>
        <s v="LOLO Higher Being Hot Chocolate 180g" u="1"/>
        <s v="POWERSF Nourish Drinking Choc 180g" u="1"/>
        <s v="STC Ceremonial Cacao 250g" u="1"/>
        <s v="BELOKA Water Still 500ml" u="1"/>
        <s v="EORCHARD Pure Cherry Juice 750ml" u="1"/>
        <s v="SIMJUI Afterglow Superfood Prebiotic Juice 325ml" u="1"/>
        <s v="SIPCOC Coconut Water 330ml" u="1"/>
        <s v="UTHRIVE Lemon Myrtle Hydration Drink 330ml" u="1"/>
        <s v="ORGGROW Eggs 1/2doz 350g" u="1"/>
        <s v="BEVS Seed &amp; Nut Baked Slice 60g" u="1"/>
        <s v="LOCAKO Protein Brownie Ball Macadamia White Choc 30g" u="1"/>
        <s v="MAXD Wellness Square Salted Caramel Crunch 40g" u="1"/>
        <s v="SPB Coconut Protein Bar 60g" u="1"/>
        <s v="THANKSD Lemon &amp; Maca Bar 40g" u="1"/>
        <s v="KEHOES Turmeric Caulifower Rice 410g" u="1"/>
        <s v="TTT Apple Pomegranate Kombucha 330m" u="1"/>
        <s v="FTN Banana Bread Mix 360g" u="1"/>
        <s v="HBAKE Khorasan Flour 1kg" u="1"/>
        <s v="HTG Corn Starch 300g" u="1"/>
        <s v="HTG LSA 200g" u="1"/>
        <s v="PBCO Pancake &amp; Pikelet Mix Low Carb 300g" u="1"/>
        <s v="TRUE High Protein Mousse Mix 150g" u="1"/>
        <s v="PARGO Coral Pink Bottle 750ml" u="1"/>
        <s v="PARGO Eucalypt Green Bottle 1890ml" u="1"/>
        <s v="Parsley Curly Bunch" u="1"/>
        <s v="ELGIN Frozen Pineapple 1Kg" u="1"/>
        <s v="HOG Beef Lemongrass &amp; Ginger Meatballs 320g" u="1"/>
        <s v="HOG Dumplings Chicken Lemongrass 285g" u="1"/>
        <s v="HOG Dumplings Spiced Ginger Beef 285g" u="1"/>
        <s v="SYNDIAN Super Green Falafel 300g" u="1"/>
        <s v="Mandarin" u="1"/>
        <s v="Orange Blood" u="1"/>
        <s v="AHD Gift Card 1u" u="1"/>
        <s v="CERES Rice Arborio 500g" u="1"/>
        <s v="GLOBAL Mixed Bean Salad 400g" u="1"/>
        <s v="HTG Chickpeas 1Kg" u="1"/>
        <s v="HTG Red Kidney Beans TIN 400g" u="1"/>
        <s v="LME Dahl Butter Masala Mix 200g" u="1"/>
        <s v="LME Dahl Creamy Coconut Mix 200g" u="1"/>
        <s v="MOUNTZ Chickpeas 500g" u="1"/>
        <s v="SPIRAL Cannellini Beans TIN 400g" u="1"/>
        <s v="GOURMET Basil 10g" u="1"/>
        <s v="GOURMET Marjoram 10g" u="1"/>
        <s v="GOURMET Sweet Paprika 30g" u="1"/>
        <s v="GOURMET Thyme 10g" u="1"/>
        <s v="POWERSF Wakame Flakes 50g" u="1"/>
        <s v="DOTERRA Essential Oil Touch Whisper 10ml" u="1"/>
        <s v="BIPPI Italian Chilli Hot 250g" u="1"/>
        <s v="BIPPI Sriracha 260g" u="1"/>
        <s v="*TEATREES Bathroom Cleaner 4 Refills" u="1"/>
        <s v="BONAMI Powder Cleanser Natural 400g" u="1"/>
        <s v="ECOCO Bottle Brush 1u" u="1"/>
        <s v="ECYO Dishwashing Tablets 30pk" u="1"/>
        <s v="GCS 3 Reusable Bamboo Towels 20 Sheets" u="1"/>
        <s v="GCS Dish Brush Wooden Handle 1u" u="1"/>
        <s v="KOALA Dishwasher Powder Lemon Myrtle &amp; Mandarin 1kg" u="1"/>
        <s v="KOALA Fruit &amp; Vegetable Wash Mandarin 500ml" u="1"/>
        <s v="SCLEAN Laundry Powder Lemon Myrtle 1kg" u="1"/>
        <s v="VNBC Mould Solution Surface Spray 750ml" u="1"/>
        <s v="FLYF Banana Choc Chip &amp; Coconut Milk Ice Block 57ml" u="1"/>
        <s v="KURA Wasabi Paste 43g" u="1"/>
        <s v="FS BOTCUIS New Yorker Cashew Macadamia Cheese 1.375kg" u="1"/>
        <s v="*MATCHAM Matcha Powder 28.35g" u="1"/>
        <s v="UBE Nolia 80g" u="1"/>
        <s v="NONNAS Butterflied FR Chicken Peri Peri" u="1"/>
        <s v="NONNAS Organic Butterfly Lamb Leg w Rosemary" u="1"/>
        <s v="NONNAS Thin BBQ Beef Sausage 480g" u="1"/>
        <s v="*NIULIFE Vegan Ghee 350ml" u="1"/>
        <s v="AO Balsamic Vinegar 500ml" u="1"/>
        <s v="HTG Coconut Oil Purified Deodorised 1L" u="1"/>
        <s v="PLENTY Avocado Oil 375ml" u="1"/>
        <s v="SPIRAL White Wine Vinegar 250ml" u="1"/>
        <s v="BIPPI Italian Pesto Classico 185g" u="1"/>
        <s v="SPIRAL Tomato Paste 300g" u="1"/>
        <s v="GIROLO Durum Wheat Orecchiette 500g" u="1"/>
        <s v="GIROLO Durum Wheat Spaghetti 500g" u="1"/>
        <s v="HTG Fusilli Tomato Spinach 500g" u="1"/>
        <s v="HTG Garlic &amp; Pepper Instant Noodles 85g" u="1"/>
        <s v="OGO GF 3 Grains Penne  300g" u="1"/>
        <s v="PASTAN GF Amaranth Teff Quinoa Penne 250g" u="1"/>
        <s v="SPIRAL GF Black Rice Noodles 225g" u="1"/>
        <s v="ZEROSLM low Carb Rice 160g" u="1"/>
        <s v="DRKWASI ORG Sankofa Premium Deodorant Refill 100ml" u="1"/>
        <s v="DRORGAN Tea Tree Toothpaste 100ml" u="1"/>
        <s v="DRTUNGS Tongue Cleaner Copper" u="1"/>
        <s v="EPZEN Magnesium Bath Crystals 900g" u="1"/>
        <s v="EWISEN Body Wash Rosehip Almond Oil 1L" u="1"/>
        <s v="HURRAW Raspberry Tinted Lip Balm 4.8g" u="1"/>
        <s v="JACKJIL Toothbrush (Children) Dinasour" u="1"/>
        <s v="MAHARISHI Ayurdent Tongue Cleaner Copper 1u" u="1"/>
        <s v="MELROSE Sweet Almond Oil 250ml" u="1"/>
        <s v="TGOODO Argan Oil Hair Reconstruction Conditioner 250ml" u="1"/>
        <s v="TUTTO Holy Grail Tallow Balm" u="1"/>
        <s v="WELEDA 2 in 1 Face Wash Men 100ml" u="1"/>
        <s v="BUGSY Turkey Dog Food 328g" u="1"/>
        <s v="AO Kalamata Olives Whole 300g" u="1"/>
        <s v="AURELIO Black Olives Fennel and Lemon 240g" u="1"/>
        <s v="AURELIO Green Olives Lemon and Pepper 240g" u="1"/>
        <s v="BBO Unpitted Sicilians Olives Marinated with Herbs 370g" u="1"/>
        <s v="CERES Grilled Red Peppers in EVOO 190g" u="1"/>
        <s v="HTG Pineapple Chunks in Pineapple Juice 420g" u="1"/>
        <s v="KIWIA Lemon Myrtle, Basil, Kawakawa Infused Olives 150g" u="1"/>
        <s v="TGP Sushi Pickled Ginger 190g" u="1"/>
        <s v="Lettuce Cos Twin Pack" u="1"/>
        <s v="MAR Sardines with Smoke Flavour in Olive Oil 120g" u="1"/>
        <s v="MINGLE Buffalo Chicken Bake All Natural Recipe Base 35g" u="1"/>
        <s v="MINGLE Tacos All Natural Recipe Base 30g" u="1"/>
        <s v="KURA Salt Reduced Soy Sauce 250ml" u="1"/>
        <s v="CARWARI Yuzu Spread 260g" u="1"/>
        <s v="CHEFSCH Coconut Sugar 500g" u="1"/>
        <s v="CHEFSCH Pomegranate Molasses 250ml" u="1"/>
        <s v="MANDOLEO Smooth Salted Almond Butter 250g" u="1"/>
        <s v="TLD Frenchs Forest Raw Honey 1Kg" u="1"/>
        <s v="CERES Psyllium Husks 180g" u="1"/>
        <s v="HW Marine Collagen Unflavoured 250g" u="1"/>
        <s v="LIFECYK Lion's Mane Extract Liquid 60ml" u="1"/>
        <s v="MELROSE MCT Oil Brain Power 250ml" u="1"/>
        <s v="MINDFF Ashwagandha Powder 125g" u="1"/>
        <s v="MINDFF Raspberries Freeze 40g" u="1"/>
        <s v="MITCHELLSN Bone Broth Protein Powder Chocolate 500g" u="1"/>
        <s v="NFS Ginger Ninja Sea Moss Gel 375ml" u="1"/>
        <s v="POWERSF Plant Protein Natural 400g" u="1"/>
        <s v="TRUE Electrolyte tropical Flavour 240g" u="1"/>
        <s v="TRUE Gut Health French Vanilla 240g" u="1"/>
        <s v="TRUE Plant Base Natural Protein Powder 750g" u="1"/>
        <s v="TRUE WPI 90 Chocolate Protein Powder 1kg" u="1"/>
        <s v="TRUE ZMA Lemon Burst Powder 300g" u="1"/>
        <s v="BUDDHAT Elderberry Tea 18tb" u="1"/>
        <s v="ETS Tea Green Tea &amp; Pomegranate 20tb" u="1"/>
        <s v="MAHARISHI Kapha Tea 20tb" u="1"/>
        <s v="MANLYFARM Immunitas Fortis Loose Leaf Tea 50g" u="1"/>
        <s v="MINDFF Butterfly Pea Power 50g" u="1"/>
        <s v="MINDFF Rose Petals 15g" u="1"/>
        <s v="OKU Manuka Spearmint Tea 15tb" u="1"/>
        <s v="ORGIN Tulsi Tummy Tea 25tb" u="1"/>
        <s v="ORGIND Tulsi Lax Tea 25tb" u="1"/>
        <s v="ROOGENIC Menopause Night Tea 18tb" u="1"/>
        <s v="GIMME Roasted Seaweed Snack in Olive Oil 6x5g" u="1"/>
        <s v="REALN Protein Edamame Pops Sour Cream 26g" u="1"/>
        <s v="BISQUE BBQ Lupin Tempeh 250g" u="1"/>
        <s v="BOTCUIS Vegan Cultured Butter 325g" u="1"/>
        <s v="HTG Oat Milk Powder 300g" u="1"/>
        <s v="NUTRSOY Tofu Teriyaki 200g" u="1"/>
        <s v="DRBRON Baby Unscented Bar Soap 140g" u="1"/>
        <s v="HOLLE Cow Milk Formula 2 500g" u="1"/>
        <s v="NUTRAO Gusty Gummies Blueberry Mix 150g" u="1"/>
        <s v="BLUEFRO Macadamia Almond Manuka Honey Cereal 350g" u="1"/>
        <s v="BLUEFRO Protein Mango Macadamia Granola 300g" u="1"/>
        <s v="Grumpy Bums Porridge Strawberry &amp; Vanilla 300g" u="1"/>
        <s v="NATPATH Crispy Rice 284g" u="1"/>
        <s v="HTG Dark Chocolate Drops 55% Cocoa 250g" u="1"/>
        <s v="SOLGOLD Caramel Dark Chocolate Baking Swirls 58% 150g" u="1"/>
        <s v="ORTIMES Vanilla Marshmallow 100g" u="1"/>
        <s v="PUR Peppermint Chewing Gum 12.6g" u="1"/>
        <s v="GFLAB Mushroom &amp; Truffle Arancini 400g" u="1"/>
        <s v="MAAS Chickpea Curry 450g" u="1"/>
        <s v="PROPERC Potato Chips Sea Salt 40g" u="1"/>
        <s v="BANJO Carob Sultanas 6 x 20g" u="1"/>
        <s v="COOLM Peanut Butter Medjool Dates 56g" u="1"/>
        <s v="LOLO Almond Caramel Crunch 30g" u="1"/>
        <s v="LZF Salted Caramel Choc Bar 85g" u="1"/>
        <s v="ORTIMES Dark Choc Strawberries 100g" u="1"/>
        <s v="ORTIMES Milk Chocolate Ginger 150g" u="1"/>
        <s v="TONYSC Dark Almond Sea Salt Choc Bar 180g" u="1"/>
        <s v="MANLYFARM Coffee Beans 250g" u="1"/>
        <s v="BAROSSA GF Plain Wafer Crackers 100g" u="1"/>
        <s v="MARYSGC Thins Lightly Salted Crackers 127g" u="1"/>
        <s v="MUNGALL Greek Yoghurt 750g" u="1"/>
        <s v="SYMONS Mount Shadwell 150g" u="1"/>
        <s v="HTG Coconut Desiccated 175g" u="1"/>
        <s v="HTG Dried Incaberries 175g" u="1"/>
        <s v="LIVEW Activated Hazelnuts 120g" u="1"/>
        <s v="MINDFF Activated Mixed Nuts 450g" u="1"/>
        <s v="MINDFF Yummy Beans 260g" u="1"/>
        <s v="OROAD Turkish Apricots 250g" u="1"/>
        <s v="CHIAS Berry Chia Smoothie 200ml" u="1"/>
        <s v="CHIAS Brain Boost Blackcurrant Chia Drink 200ml" u="1"/>
        <s v="CHIAS Good Gut Health Blueberry Chia Drink 200ml" u="1"/>
        <s v="CHP Sour Cherry 100% Juice 1L" u="1"/>
        <s v="COCOBELLA Coconut Water 375ml" u="1"/>
        <s v="KARA Coconut Water 1L" u="1"/>
        <s v="CHIEF Grass Fed Collagen Protein Powder 450g" u="1"/>
        <s v="BONSOY Lemon &amp; Ginger Kombucha 250ml" u="1"/>
        <s v="CHEFSCH Besan Flour 500g" u="1"/>
        <s v="PALEOH Cinnamon Pancake Mix 200g" u="1"/>
        <s v="PARGO BBQ Charcoal Bottle 750ml" u="1"/>
        <s v="Rosemary Bunch" u="1"/>
        <s v="BIONA¬†Edamame Beans 200g" u="1"/>
        <s v="CHEFSCH Hulled Millet 500g" u="1"/>
        <s v="*TSB Indian Black Salt 170g" u="1"/>
        <s v="CHEFSCH Pink Rock Salt Grinder 200g" u="1"/>
        <s v="MINDFF Celtic Sea Salt 250g" u="1"/>
        <s v="MINDFF Seed Mix 330g" u="1"/>
        <s v="POWERSF Dulse Flakes 40g" u="1"/>
        <s v="SALTEAR Celtic Sea Salt Coarse 650g" u="1"/>
        <s v="*White Magic - Eco Basics Plate 17cm Bio 10Pk" u="1"/>
        <s v="*White Magic - Eco Basics Wooden Forks Bio 18Pk" u="1"/>
        <s v="ABODE Lavender &amp; Eucalyptus Floor Cleaner 750ml" u="1"/>
        <s v="KOALA Laundry Stain Spray Fragrance Free 500ml" u="1"/>
        <s v="SCLEAN Dishwasher Liquid Lemon Myrtle 500ml" u="1"/>
        <s v="SPIRAL Mirin Sauce 250ml" u="1"/>
        <s v="GOLDENG Extra Virgin Olive Oil 750ml" u="1"/>
        <s v="HTG Coconut Oil Purified Deodorised 500ml" u="1"/>
        <s v="THRIVET 100% Grass Fed Tallow 250ml" u="1"/>
        <s v="BIOPAK Shopping Paper Bag" u="1"/>
        <s v="ALBGOLD Kids Pasta Safari 300g" u="1"/>
        <s v="SPIRAL Instant Ramen Mushroom 88g" u="1"/>
        <s v="BASSBRU Comb Large Wide Fine Tooth 1u" u="1"/>
        <s v="DRORGAN Aloe Vera Mouthwash 500ml" u="1"/>
        <s v="DRTUNGS Oil Pulling Concentrate 50ml" u="1"/>
        <s v="EPZEN Calm Cleanse Body Wash 750ml" u="1"/>
        <s v="LM Bush Mint Black Natural Soap" u="1"/>
        <s v="LM Desert Rain Natural Soap" u="1"/>
        <s v="NAKED Sleepytime Tallow Cream 220ml" u="1"/>
        <s v="WELEDA Baby Derma Face Cream White Mallow 50ml" u="1"/>
        <s v="WELEDA Skin Food Body Lotion 200ml" u="1"/>
        <s v="BUGSY Chicken &amp; Ginseng Dog Treat 70g" u="1"/>
        <s v="BUGSY Chicken Dog Food 328g" u="1"/>
        <s v="AO Capsicum Roasted 460g" u="1"/>
        <s v="BBO Olives Dried Marinated 220G" u="1"/>
        <s v="GIMME Sushi Sheets 23g" u="1"/>
        <s v="Baby Salad Leaves 100g" u="1"/>
        <s v="GOODFIS Sardines in EVO Oil CAN 120g" u="1"/>
        <s v="SAFECAT Wild Yellowfin Tuna 142g" u="1"/>
        <s v="GEO Korma Curry Paste 180g" u="1"/>
        <s v="GEO Thai Red Curry Paste 180g" u="1"/>
        <s v="MINGLE Chilli Con Carne Base 30g" u="1"/>
        <s v="TOPWIL Coconut Amino Sweet &amp; Salty 200g" u="1"/>
        <s v="FTN Sprouted Luscious Lemon Spread 200g" u="1"/>
        <s v="KINGI Pure Manuka Honey 514+MGO 250g" u="1"/>
        <s v="NIRVANA Stevia Dispenser 150t" u="1"/>
        <s v="TNURISHED Monk Fruit Concentrate 50ml" u="1"/>
        <s v="EVOBOT Shilajit Mango Protein Powder 900g" u="1"/>
        <s v="HABSHIF Black Seed Oil 50ml" u="1"/>
        <s v="LIFECYK Chaga Extract Liquid 60ml" u="1"/>
        <s v="LIFECYK Reishi Extract Liquid 120ml" u="1"/>
        <s v="LIFECYK Shiitake Extract Liquid 60ml" u="1"/>
        <s v="MWU Organic Liver 120 Caps" u="1"/>
        <s v="MWU Supergut Protein French Vanilla 400g" u="1"/>
        <s v="NFS Green Warrior Sea Moss Gel 375ml" u="1"/>
        <s v="NUTRAO Collagen Beauty Vanilla 225g" u="1"/>
        <s v="TRUE Glutamine 250g" u="1"/>
        <s v="WILDM Resilience Tonic 500ml" u="1"/>
        <s v="ZENFUEL Pure Shilajit Resin 20g" u="1"/>
        <s v="BUDDHAT Matcha Green Tea 18tb" u="1"/>
        <s v="MOT English Breakfast 20pk" u="1"/>
        <s v="MOT Moroccan Mint Tea 20tb" u="1"/>
        <s v="PATS Pumpkin Soup 400g" u="1"/>
        <s v="QITEA Clarity Gingko Green tea 25tb" u="1"/>
        <s v="QITEA Jasmine Green Leaf Tea 100g" u="1"/>
        <s v="SPIRAL Genmai-Cha Teabags 20tb" u="1"/>
        <s v="SPIRAL Herbal Tea Kukicha (Bancha) 20tb" u="1"/>
        <s v="TFCCO Caffeine Free Honey Chai 250g" u="1"/>
        <s v="XOTEA Night Lights Sleep Tea 20tb" u="1"/>
        <s v="PRIMSOY Tempeh Tamari Ginger 260g" u="1"/>
        <s v="PUREHAR Original Soy Milk 1L" u="1"/>
        <s v="PUREHAR Unsweetened Soy Milk 1L" u="1"/>
        <s v="&quot;SO&quot; HOLLE Organic 3 Grain Porridge 250g" u="1"/>
        <s v="*PATCH VALUE PACK - 100 Natural Bamboo Bandages" u="1"/>
        <s v="BUBS Baby Food Super Vegetable Rice Congee 120g" u="1"/>
        <s v="GFPRECINCT Buckwheat &amp; Chia Bread 600g" u="1"/>
        <s v="NATURIS Bread Wholemeal Spelt Chia Seeds LOW FM 360g" u="1"/>
        <s v="HEMPF Zero Chicken Broth 112g" u="1"/>
        <s v="NUTRAO Chicken Bone Broth Original 125g" u="1"/>
        <s v="URBANF Vegan Umami Stock 250g" u="1"/>
        <s v="HTG Cacao Butter Wafers 350g" u="1"/>
        <s v="Speciality Drinks" u="1"/>
        <s v="FUNDAY Fruity Koalas 50g" u="1"/>
        <s v="FUNDAY Sour Peach Gummy Hearts 50g" u="1"/>
        <s v="PUR Peppermint Chewing Gum 77g" u="1"/>
        <s v="GFLAB Fettuccini 250g" u="1"/>
        <s v="WFOOD Cauliflower Zucchini Soup 500g" u="1"/>
        <s v="WFOOD Coconut Carrot Lemongrass Soup 500g" u="1"/>
        <s v="CERES Chickpea Crisps Turmeric &amp; Black Pepper 100g" u="1"/>
        <s v="DONACH White Corn Totopos 170g" u="1"/>
        <s v="SERIOUSF Pea Puff Real Cheese Multipack 75g" u="1"/>
        <s v="SERIOUSF Pea Puff Sea Salt Multipack 75g" u="1"/>
        <s v="LOLO Black Cherry Ganache 30g" u="1"/>
        <s v="LZF Keto White Chocolate 85g" u="1"/>
        <s v="MONSIEURT Almonds in Dark Choc 100g" u="1"/>
        <s v="MONSIEURT Milk 32% Salted Pistachio Choc Bar 80g" u="1"/>
        <s v="SINGLEO AWOL Whole Bean Decaf 250g" u="1"/>
        <s v="AO BBQ Sauce 340g" u="1"/>
        <s v="DELFILS Wholegrain Mustard 200g" u="1"/>
        <s v="ORTIMES Almond Shortbread Cookies 150g" u="1"/>
        <s v="ETL Buckwheat Cake Original 200g" u="1"/>
        <s v="OLIVERL Rosemary Peppercorn Crispbread 125g" u="1"/>
        <s v="LARDASS Cultured Herb &amp; Garlic Butter 150g" u="1"/>
        <s v="ROLLEY Milk Chocolate Powder 100g" u="1"/>
        <s v="ROLLEY Milk Strawberry Powder 100g" u="1"/>
        <s v="CARWARI Hulled Sesame Seeds 200g" u="1"/>
        <s v="HTG ABC Raw Nut Mix 500g" u="1"/>
        <s v="HTG Organic Dried Figs 200g" u="1"/>
        <s v="MAREEBA Australian Dried Pineapple 57g" u="1"/>
        <s v="MINDFF Activated Cashews 120g" u="1"/>
        <s v="SPIRAL Coconut Cream 400ml" u="1"/>
        <s v="HUMMBLE Calm Cacao Powder 150g" u="1"/>
        <s v="STC Rose Cacao Powder 250g" u="1"/>
        <s v="DASH Cucumber Sparkling Water 300ml" u="1"/>
        <s v="GIDDYF PPPBiotic Soda Orange 330ml" u="1"/>
        <s v="XHALE Cucumber Mint Sparkling Tonic 330ml" u="1"/>
        <s v="TRUE Plant Based Choc Peanut Butter Protein Bar 56g" u="1"/>
        <s v="BIOBEET Kvass Brain Tonic Recharge 500ml" u="1"/>
        <s v="BIOBEET Kvass Ginger Digest 500ml" u="1"/>
        <s v="GREENSK Kimchi Black Miso Garlic 430g" u="1"/>
        <s v="GREENSK Kimchi Szechuan Pepper Turmeric 430g" u="1"/>
        <s v="BOBSRED Baking Powder 397g" u="1"/>
        <s v="FTN Fluffy Pancake Mix 300g" u="1"/>
        <s v="MTELEP Brownie Mix 375g" u="1"/>
        <s v="MTELEP Choc Chip Cookie Mix 375g" u="1"/>
        <s v="NUTRAO Whiz  Stick" u="1"/>
        <s v="BYRONGP Energy Roll 140g" u="1"/>
        <s v="Apple Gala" u="1"/>
        <s v="Lime" u="1"/>
        <s v="YWB Wild Projects for Families Book" u="1"/>
        <s v="GLOBAL Chickpeas TIN 400g" u="1"/>
        <s v="HTG Biodynamic Rain-Fed Brown Rice 1.5kg" u="1"/>
        <s v="MOUNTZ Whole Freekeh 500g" u="1"/>
        <s v="BELAMANDIL Sea Salt Fine 400g" u="1"/>
        <s v="BRAGG Seasoning Nutritional Yeast 127g" u="1"/>
        <s v="GOURMET Caraway Seeds 45g" u="1"/>
        <s v="GOURMET Chilli Flakes 20g" u="1"/>
        <s v="GOURMET Cumin Seeds 30g" u="1"/>
        <s v="HTG Garlic Paste 240g" u="1"/>
        <s v="HTG Ginger Paste 200g" u="1"/>
        <s v="MOUNTZ Egyptian Dukkah 100g" u="1"/>
        <s v="OLSSONS Smoked Salt 90g" u="1"/>
        <s v="SO Garlic Powder 103g" u="1"/>
        <s v="TGP Minced Ginger 190g" u="1"/>
        <s v="DOTERRA Essential Oil Ice Blue 5ml" u="1"/>
        <s v="DOTERRA Essential Oil ZenGest 15ml" u="1"/>
        <s v="ABODE Dishwashing Liquid Zero 500ml" u="1"/>
        <s v="FLYF Orange Ice Block 57ml" u="1"/>
        <s v="CARWARI Brown Rice Miso (Red) 300g" u="1"/>
        <s v="WANJANS Hoisin Sauce 230ml" u="1"/>
        <s v="GOLDEN Grind Healthy Hot Chocolate 100g" u="1"/>
        <s v="CARWARI EV Sesame Oil 250ml" u="1"/>
        <s v="CARWARI Sesame Dressing 150ml" u="1"/>
        <s v="*CHANTAL Bolognese Pasta Sauce 660g" u="1"/>
        <s v="AO Pesto Basil &amp; Chilli 190g" u="1"/>
        <s v="HTG Organic Tomato Paste 210g" u="1"/>
        <s v="CASALAR GF Lasagne 250g" u="1"/>
        <s v="*WOTNOT Baby Shampoo Sensitive Skin 250ml" u="1"/>
        <s v="BASSBRU Bio-Flex Detlanger Hair Brush Blue 1u" u="1"/>
        <s v="DRTUNGS Smart Dental Floss 27ml" u="1"/>
        <s v="EPZEN Magnesium Bath Crystals Soothe 900g" u="1"/>
        <s v="FIN Balancing Rosemary Shampoo 400ml" u="1"/>
        <s v="FIN Hydrating Coconut Conditioner 400ml" u="1"/>
        <s v="FIN Hydrating Coconut Shampoo 400ml" u="1"/>
        <s v="FIN Purifying Grapefruit &amp; Orange Shampoo 400ml" u="1"/>
        <s v="FIN Shooting Lavender &amp; Geranium Shampoo 400ml" u="1"/>
        <s v="JUNIPER Calming Facial Exfoliant 100g" u="1"/>
        <s v="LAMAV Hydration Skin Discovery Pack" u="1"/>
        <s v="LM Green Myrtle Natural Soap" u="1"/>
        <s v="PEACHIE Tradie Soap 110g" u="1"/>
        <s v="TUTTO Natural Deodorant 50g" u="1"/>
        <s v="BUGSY Little Fish Dog Treat 70g" u="1"/>
        <s v="*CHEFSCH Grilled Garlic 200g" u="1"/>
        <s v="AO Greek Green Olives Pitted 295g" u="1"/>
        <s v="TSM Old Fashioned Gravy 300g" u="1"/>
        <s v="HTG Australian Raw Honey 500g" u="1"/>
        <s v="PEPPERT Turkish Pistachio Cream 200g" u="1"/>
        <s v="TLD Manly Dam Raw Honey 500g" u="1"/>
        <s v="LIFECYK Reishi Extract Liquid 60ml" u="1"/>
        <s v="MWU Hormone + Metabolism 60cp" u="1"/>
        <s v="NUTRAO Thriving Family Unflavoured 450g" u="1"/>
        <s v="TAH Liv 150g" u="1"/>
        <s v="TROPEAKA MCT Oil Powder 200g" u="1"/>
        <s v="HILHEM Laxative Mix 30s Tea Bags" u="1"/>
        <s v="MANLYFARM Hydratari Loose Leaf Tea 50g" u="1"/>
        <s v="ORGIN Spicy Fennel Tea 25tb" u="1"/>
        <s v="PATS Sweet Potato Soup 400g" u="1"/>
        <s v="PATS Vegetable Soup 400g" u="1"/>
        <s v="QITEA Ginger Green Tea 25tb" u="1"/>
        <s v="QITEA White Tea 25tb" u="1"/>
        <s v="ROOGENIC Immunity Native Tea 18tb" u="1"/>
        <s v="ROOGENIC Native Detox Tea 18tb" u="1"/>
        <s v="ROOGENIC Native Relief Tea 18tb" u="1"/>
        <s v="ROOGENIC Vitality Native Tea 18tb" u="1"/>
        <s v="NAKEDBY Vegan Aioli 435g" u="1"/>
        <s v="NUTRSOY Tofu 350g" u="1"/>
        <s v="PRIMSOY Tempeh Original 225g" u="1"/>
        <s v="VBEST Coconut Yoghurt Vanilla 500g" u="1"/>
        <s v="Detox Juice Large" u="1"/>
        <s v="Immunity Juice Large" u="1"/>
        <s v="GEVITY Bone Broth A.M. Cleanse 390g" u="1"/>
        <s v="URBANF Turmeric Ginger Broth 250g" u="1"/>
        <s v="MF Immunity Juice Large" u="1"/>
        <s v="WFOOD Chickpea &amp; Leek Soup 500g" u="1"/>
        <s v="*HTG Traditional Mayonnaise 240g" u="1"/>
        <s v="BESTBON BBQ Sauce 250g" u="1"/>
        <s v="*HTG Brown Rice Crackers Original 100g" u="1"/>
        <s v="HTG Australian Hulled Hemp Seeds 200g" u="1"/>
        <s v="*YAALAP Davidson Plum &amp; Waratah Sparkling Water 330ml" u="1"/>
        <s v="KIMCHIC Fermented Horseradish 140g" u="1"/>
        <s v="KIALLA Bread &amp; Pizza Flour 700g" u="1"/>
        <s v="LUVINL Rainbow Fairy Lights 2m" u="1"/>
        <s v="LUVINL Rose Quartz Fairy Lights 2m" u="1"/>
        <s v="HTG Red Rice 650g" u="1"/>
        <s v="GOURMET Cinnamon Quills 20g" u="1"/>
        <s v="MINGLE Tuscan Chicken All Natural Seasoning 35g" u="1"/>
        <s v="This Is Incense - DREAMLAND" u="1"/>
        <s v="ZIGGYS Hot Sauce Stinging Nettle &amp; Finger lime 200ml" u="1"/>
        <s v="BAMPER Toilet Paper Roll" u="1"/>
        <s v="KOALA Glass Cleaner Peppermint 1L" u="1"/>
        <s v="SPIRAL Genmai Mochi 300g" u="1"/>
        <s v="SPIRAL Brown Rice Vinegar 250ml" u="1"/>
        <s v="HTG Cherry Tomatoes 400g" u="1"/>
        <s v="SNP Tulipano Pasta 375g" u="1"/>
        <s v="ZEROSLM Fettuccini 350g" u="1"/>
        <s v="ZEROSLM Noodle Style 400g" u="1"/>
        <s v="DRKWASI Sankofa Forest Deodorant Spray 50mll" u="1"/>
        <s v="JUNIPER Somnus Aromatherapy Blend 10ml" u="1"/>
        <s v="TGOODO Argan Hair as Strong as Rope Mask 250ml" u="1"/>
        <s v="CERES Sundried Tomatoes 150g" u="1"/>
        <s v="CANAWAY Frozen Wild Halibut Cheeks 200g" u="1"/>
        <s v="MINGLE Traditional Gravy 170g" u="1"/>
        <s v="*MAYVERS Tahini Hulled 385g" u="1"/>
        <s v="BIOHONEY Manuka &amp; Lemon Lozenges 20u" u="1"/>
        <s v="EHF Bee Pollen 180g" u="1"/>
        <s v="EVOBOT Ashwagandha Powder 100g" u="1"/>
        <s v="LIFECYK Cordyceps Extract Liquid 60ml" u="1"/>
        <s v="ROOGENIC Clarity Native Tea 18tb" u="1"/>
        <s v="COCOBELLA Natural Yogurt 900g" u="1"/>
        <s v="Breakfast - Paleo Granola Bowl" u="1"/>
        <s v="BUBS Baby Food Sweet Potato Carrot Pumpkin 120g" u="1"/>
        <s v="ISAACS Apple of my Pie Snack Bar 50g" u="1"/>
        <s v="CSCARN Sourdough Organic Pizza Bases" u="1"/>
        <s v="*HTG Organic 5 Grain Goodness 500g" u="1"/>
        <s v="ECLIPSE Muesli Paleo Nut Fruit Crunch 450g" u="1"/>
        <s v="HTG Muesli¬†Fruit Nut Seeds¬†Sulphur¬†Free¬†500g" u="1"/>
        <s v="PALEOH Almond &amp; Cinnamon Spice Porridge Mix 250g" u="1"/>
        <s v="PALEOH Primal Choc Granolaa 750g" u="1"/>
        <s v="HTG Carob Powder 350g" u="1"/>
        <s v="PALAMANO Lemon &amp; Lime Almond Tortillas Chips 90g" u="1"/>
        <s v="MAMO Coconut &amp; Goji Carob Bar 90g" u="1"/>
        <s v="MONSIEURT 37% Milk Caramel Almond Choc Bar 80g" u="1"/>
        <s v="NUTRYN Milk Choc Peanut Butter Cup 42g" u="1"/>
        <s v="SINGLEO WTG Blend 1kg" u="1"/>
        <s v="HTG Brown Rice Crackers Smokey BBQ 100g" u="1"/>
        <s v="ROLLEY Milk Banana Powder 100g" u="1"/>
        <s v="HTG Golden Linseed 200g" u="1"/>
        <s v="MAREEBA Australian Dried Red Papaya 43g" u="1"/>
        <s v="MINDFF Maple Munchies 220g" u="1"/>
        <s v="XHALE Watermelon Lime Sparkling Tonic 330ml" u="1"/>
        <s v="TRUE Plant Based Chocolate Bar 56g" u="1"/>
        <s v="Czech Medium Netbags 1u" u="1"/>
        <s v="LUVINL Amethyst Fairy Lights 2m" u="1"/>
        <s v="BIONA Chickpeas Glass Jar 350g" u="1"/>
        <s v="MOUNTZ  Soup Mix 500g" u="1"/>
        <s v="GOURMET Cajun Blend 25g" u="1"/>
        <s v="GOURMET Cardamon Pods 20g" u="1"/>
        <s v="GOURMET Whole Black Pepper 40g" u="1"/>
        <s v="ABODE Fruit &amp; Vegetable Wash 500ml" u="1"/>
        <s v="KOALA Laundry Wash Mandarin &amp; Peppermint 1L" u="1"/>
        <s v="KOALA Multi-Purpose Bathroom Cleaner 500ml" u="1"/>
        <s v="SPIRAL Instant Miso Red 7g x 5" u="1"/>
        <s v="SPIRAL Raw Nori Sheets 25g" u="1"/>
        <s v="SPIRAL Umeboshi Furikake 77g" u="1"/>
        <s v="ZIGGYS Wakame &amp; Chickpea Miso 200g" u="1"/>
        <s v="BONDIB Chai Spice" u="1"/>
        <s v="BROOKF Macadamia Oil 250ml" u="1"/>
        <s v="NIULIFE Coconut Balsamic Vinegar 250ml" u="1"/>
        <s v="SPIRAL Peanut Oil 500ml" u="1"/>
        <s v="WILDM Black Cherry Vincotoo 200ml" u="1"/>
        <s v="*AURELIO Arrabiatta Pasta Sauce 500g" u="1"/>
        <s v="AO Pesto Tomato 190g" u="1"/>
        <s v="CHANTAL Bolognese Pasta Sauce 660g" u="1"/>
        <s v="*SKINB5 Cleansing Mousse 150ml" u="1"/>
        <s v="ALOED Toothpaste Fluoride Free Triple Actions 100ml" u="1"/>
        <s v="EPZEN Magnesium Bath Crystals Relax 900g" u="1"/>
        <s v="EVERECO Konjac Facial Sponge Charcoal" u="1"/>
        <s v="EWISEN Baby Shampoo &amp; Conditioner 275ml" u="1"/>
        <s v="GRANTS Fresh Mint Toothpaste 110g" u="1"/>
        <s v="MAHARISHI Ayurdent Mild Toothpaste 75ml" u="1"/>
        <s v="NOOSABA Coastal Tea Tree &amp; Black Spruce Deodorant Spray 100ml" u="1"/>
        <s v="OYC Tampons Super (16)" u="1"/>
        <s v="PEACHIE Cocoa, Cinnamon &amp; Orange Soap 110g" u="1"/>
        <s v="TOM Tampons Super 16u" u="1"/>
        <s v="TUTTO Not Your Regular Body Oil Oil 200ml" u="1"/>
        <s v="Two Dudes Shave Butter 130ml" u="1"/>
        <s v="WELEDA Baby Cream Bath Calendula 200ml" u="1"/>
        <s v="La Perle Des Dieux Coffret Turquoise" u="1"/>
        <s v="RAWH ORG Raw Ironbark Honey 500g" u="1"/>
        <s v="MELROSE Greens Powder 120g" u="1"/>
        <s v="MWU Supergut Protein Strawberry Cheesecake 400g" u="1"/>
        <s v="NUTRAO Collagen Beauty Unflavoured 225g" u="1"/>
        <s v="TRUE Gut Health 240g" u="1"/>
        <s v="TRUE WPI 90 Apple Crumble Protein Powder 1kg" u="1"/>
        <s v="PATS Vegtable Soup 400g" u="1"/>
        <s v="Breakfast - Mango Chia Bowl" u="1"/>
        <s v="BAKERSC GF White Bread Loaf" u="1"/>
        <s v="CHEFSCH Buckwheat Flakes 400g" u="1"/>
        <s v="GOODMC Spelt Puffs 175g" u="1"/>
        <s v="BESTBON Grass-Fed Tallow 320g" u="1"/>
        <s v="HEMPF Vegetable Broth 112g" u="1"/>
        <s v="TSM Concentrate Beef Broth 275g" u="1"/>
        <s v="CERES Chickpea Crisps Himalayan Salt 100g" u="1"/>
        <s v="CERES Chickpea Crisps Sriracha Thai Chilli 100g" u="1"/>
        <s v="GEVITY Bone Broth Mayo 375ml" u="1"/>
        <s v="OZGANIC GF Mayonnaise 440g" u="1"/>
        <s v="UFC Aioli Mayo 280g" u="1"/>
        <s v="ToHappies Choc Fudge Brownie 100g" u="1"/>
        <s v="HTG Brown Rice Crackers Original 100g" u="1"/>
        <s v="BARAMBA Yoghurt Low Fat 500g" u="1"/>
        <s v="LARDASS Cultured Unsalted Butter 225g" u="1"/>
        <s v="DRSUPER Dried Raspberries 125g" u="1"/>
        <s v="HTG Supreme Coconut Cream 400ml" u="1"/>
        <s v="PALEOH Trail Mix 100g" u="1"/>
        <s v="MAMO Carob Spiced Elixir 150g" u="1"/>
        <s v="NH Ceremonial Grade Cacao 250g" u="1"/>
        <s v="STC Chilli Cacao Powder 250g" u="1"/>
        <s v="BOBSRED Baking Soda 454g" u="1"/>
        <s v="Chives" u="1"/>
        <s v="Mint Bunch" u="1"/>
        <s v="GHF Green Moong Dhal 700g" u="1"/>
        <s v="Kiwi 5pk" u="1"/>
        <s v="BASQUE Indian Pilau 325g" u="1"/>
        <s v="CERES Rice Sushi 500g" u="1"/>
        <s v="LME Turmeric Kitchari Mix 200g" u="1"/>
        <s v="GOURMET Brown Mustard Seed 40g" u="1"/>
        <s v="GOURMET Nutmeg Ground 30g" u="1"/>
        <s v="CARWARI White Miso 500g" u="1"/>
        <s v="SPIRAL Dried ORG Wakame 50g" u="1"/>
        <s v="NONNAS Butterflied FR Chicken French Garlic" u="1"/>
        <s v="HTG Coconut Oil Virgin 500ml" u="1"/>
        <s v="Brown paper Produce bag" u="1"/>
        <s v="HTG Penne Senatore Cappelli 500g" u="1"/>
        <s v="*DRORGAN Shampoo Bar Tea Tree &amp; Lemon 75g" u="1"/>
        <s v="*HTG Epsom Recovery Blend 1Kg" u="1"/>
        <s v="DRKWASI ORG Sankofa Premium Deodorant Spray 50ml" u="1"/>
        <s v="EPZEN Bathing Bubbles Dream Bubble 500ml" u="1"/>
        <s v="HURRAW Papaya Pineapple Lip Balm 4.3g" u="1"/>
        <s v="JACKJIL Silicone Tooth &amp; Gum Brush" u="1"/>
        <s v="JUNIPER Calming Clay Mask 100g" u="1"/>
        <s v="LAMAV Hyaluronic Moisture Cream 50ml" u="1"/>
        <s v="LAMAV Omega 3 Advanced Night Cream 50ml" u="1"/>
        <s v="LUVINL Magnesium Bath Flakes 500g" u="1"/>
        <s v="NOPONG Original Deodorant 35g" u="1"/>
        <s v="OKU Kawakawa &amp; Arnica Balm 40g" u="1"/>
        <s v="Two Dudes Daily Face Wash 125ml" u="1"/>
        <s v="CERES Antipasto Mix in EVOO 190g" u="1"/>
        <s v="KIWIA Manuka Wood Smoked Olives 150g" u="1"/>
        <s v="CANAWAY Frozen Sockeye Salmon 150g" u="1"/>
        <s v="TSM MSC Tuna In Water 120g" u="1"/>
        <s v="HTG Organic Icing Sugar 500g" u="1"/>
        <s v="WTC Bushfruit &amp; Wild Berry Jam 200g" u="1"/>
        <s v="WTC Whisky Lime &amp; Orange Marmelade 200g" u="1"/>
        <s v="ATHEALTH Berry Sobert Wate Protein 450g" u="1"/>
        <s v="EVOBOT Smooth Chocolate Protein Powder 450g" u="1"/>
        <s v="HIMALAYAN Shilajit Resin 30g" u="1"/>
        <s v="MORIFE Deep Sleep Remedy Salted Caramel 200g" u="1"/>
        <s v="TAH Marine Collagen + Vitamin C 90g" u="1"/>
        <s v="ETS Wellness Tea Happy Me 20tb" u="1"/>
        <s v="COYO Coconut Yoghurt Vanilla Bean 500g" u="1"/>
      </sharedItems>
    </cacheField>
    <cacheField name="Item Variation" numFmtId="0">
      <sharedItems containsBlank="1"/>
    </cacheField>
    <cacheField name="SKU" numFmtId="0">
      <sharedItems containsBlank="1" containsMixedTypes="1" containsNumber="1" containsInteger="1" minValue="285007" maxValue="9421907983066"/>
    </cacheField>
    <cacheField name="Category" numFmtId="0">
      <sharedItems containsBlank="1" count="63">
        <s v="Uncategorised"/>
        <s v="Baby &amp; Kids"/>
        <s v="Bread &amp; Bakery"/>
        <s v="Breakfast Cereals"/>
        <s v="Broths &amp; Stocks"/>
        <s v="Cacao, Carob &amp; More"/>
        <s v="Cafe Drinks"/>
        <s v="Candy &amp; Sweets"/>
        <s v="Chilled Ready Meals"/>
        <s v="Chips &amp; Crisps"/>
        <s v="Chocolate &amp; Coated Treats"/>
        <s v="Coffee, Creamers &amp; Alternative"/>
        <s v="Condiments &amp; Dipping Sauces"/>
        <s v="Cookies &amp; Biscuits"/>
        <s v="Crispbreads &amp; Crackers"/>
        <s v="Dairy"/>
        <s v="Dips &amp; Deli"/>
        <s v="Dried Fruit, Seeds &amp; Nuts"/>
        <s v="Drinking Chocolate &amp; Ceremonial Cacao"/>
        <s v="Drinks"/>
        <s v="Eggs"/>
        <s v="Energy &amp; Protein Bars"/>
        <s v="Fermented Goods"/>
        <s v="Flour &amp; Baking"/>
        <s v="Food Storage"/>
        <s v="Fresh Herbs"/>
        <s v="Frozen Fruit &amp; Vegetables"/>
        <s v="Frozen Ready Meals"/>
        <s v="Fruit"/>
        <s v="Gifts &amp; Holidays"/>
        <s v="Grains, Pulses &amp; Legumes"/>
        <s v="Herbs, Spices &amp; Seasoning"/>
        <s v="Home Fragrance &amp; Essential Oils"/>
        <s v="Hot Sauces &amp; Salsas"/>
        <s v="Household &amp; Cleaning"/>
        <s v="Ice Cream &amp; Desserts"/>
        <s v="International"/>
        <s v="Kitchen - food service products"/>
        <s v="Matcha &amp; Latte Blends"/>
        <s v="Meat &amp; Poultry"/>
        <s v="Oils, Vinegars &amp; Dressings"/>
        <s v="Paper Shopping Bags"/>
        <s v="Pasta &amp; Cooking Sauces"/>
        <s v="Pasta &amp; Noodles"/>
        <s v="Personal Care"/>
        <s v="Pet"/>
        <s v="Pickles, Olives &amp; More"/>
        <s v="Salad Mix"/>
        <s v="Seafood"/>
        <s v="Simmer Sauces &amp; Meal Bases"/>
        <s v="Smoothie Bar"/>
        <s v="Soups"/>
        <s v="Soy Sauces &amp; Alternatives"/>
        <s v="Spreads &amp; Sweeteners"/>
        <s v="Superfoods &amp; Supplements"/>
        <s v="Sweet Treats"/>
        <s v="Tea"/>
        <s v="To-Go Bites"/>
        <s v="Vegan"/>
        <s v="Vegetables"/>
        <s v="Wraps &amp; Salads"/>
        <m/>
        <s v="Ready Meals" u="1"/>
      </sharedItems>
    </cacheField>
    <cacheField name="Items Sold" numFmtId="0">
      <sharedItems containsString="0" containsBlank="1" containsNumber="1" containsInteger="1" minValue="1" maxValue="53"/>
    </cacheField>
    <cacheField name="Product Sales" numFmtId="0">
      <sharedItems containsString="0" containsBlank="1" containsNumber="1" minValue="0.91" maxValue="528.25"/>
    </cacheField>
    <cacheField name="Items Refunded" numFmtId="0">
      <sharedItems containsString="0" containsBlank="1" containsNumber="1" containsInteger="1" minValue="-2" maxValue="0"/>
    </cacheField>
    <cacheField name="Refunds" numFmtId="0">
      <sharedItems containsString="0" containsBlank="1" containsNumber="1" minValue="-88" maxValue="0"/>
    </cacheField>
    <cacheField name="Discounts &amp; Comps" numFmtId="0">
      <sharedItems containsString="0" containsBlank="1" containsNumber="1" minValue="-81" maxValue="0"/>
    </cacheField>
    <cacheField name="Net Sales" numFmtId="0">
      <sharedItems containsString="0" containsBlank="1" containsNumber="1" minValue="0" maxValue="508.28"/>
    </cacheField>
    <cacheField name="Tax" numFmtId="0">
      <sharedItems containsString="0" containsBlank="1" containsNumber="1" minValue="0" maxValue="47.75"/>
    </cacheField>
    <cacheField name="Gross Sales" numFmtId="0">
      <sharedItems containsString="0" containsBlank="1" containsNumber="1" minValue="0" maxValue="520.03"/>
    </cacheField>
    <cacheField name="Units Sold" numFmtId="0">
      <sharedItems containsString="0" containsBlank="1" containsNumber="1" minValue="0.14799999999999999" maxValue="5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30">
  <r>
    <x v="0"/>
    <s v="Regular"/>
    <s v="A119096"/>
    <x v="0"/>
    <n v="7"/>
    <n v="11.62"/>
    <n v="0"/>
    <n v="0"/>
    <n v="0"/>
    <n v="11.62"/>
    <n v="2.38"/>
    <n v="14"/>
    <n v="7"/>
  </r>
  <r>
    <x v="1"/>
    <s v="Regular"/>
    <n v="1872602"/>
    <x v="0"/>
    <n v="9"/>
    <n v="53.72"/>
    <n v="-1"/>
    <n v="-11.2"/>
    <n v="-2.5"/>
    <n v="40.020000000000003"/>
    <n v="0"/>
    <n v="40.020000000000003"/>
    <n v="9"/>
  </r>
  <r>
    <x v="2"/>
    <s v="Regular"/>
    <n v="9338078006091"/>
    <x v="1"/>
    <n v="2"/>
    <n v="8.1999999999999993"/>
    <n v="0"/>
    <n v="0"/>
    <n v="-2.52"/>
    <n v="5.68"/>
    <n v="0"/>
    <n v="5.68"/>
    <n v="2"/>
  </r>
  <r>
    <x v="3"/>
    <s v="Regular"/>
    <n v="9338078007036"/>
    <x v="1"/>
    <n v="2"/>
    <n v="8.1999999999999993"/>
    <n v="0"/>
    <n v="0"/>
    <n v="-1.26"/>
    <n v="6.94"/>
    <n v="0"/>
    <n v="6.94"/>
    <n v="2"/>
  </r>
  <r>
    <x v="4"/>
    <s v="Regular"/>
    <n v="9338078006220"/>
    <x v="1"/>
    <n v="3"/>
    <n v="12.3"/>
    <n v="0"/>
    <n v="0"/>
    <n v="0"/>
    <n v="12.3"/>
    <n v="0"/>
    <n v="12.3"/>
    <n v="3"/>
  </r>
  <r>
    <x v="5"/>
    <s v="Regular"/>
    <n v="9338078006039"/>
    <x v="1"/>
    <n v="1"/>
    <n v="4.0999999999999996"/>
    <n v="0"/>
    <n v="0"/>
    <n v="-0.82"/>
    <n v="3.28"/>
    <n v="0"/>
    <n v="3.28"/>
    <n v="1"/>
  </r>
  <r>
    <x v="6"/>
    <s v="Regular"/>
    <n v="9351148100574"/>
    <x v="1"/>
    <n v="1"/>
    <n v="6.27"/>
    <n v="0"/>
    <n v="0"/>
    <n v="0"/>
    <n v="6.27"/>
    <n v="0.63"/>
    <n v="6.9"/>
    <n v="1"/>
  </r>
  <r>
    <x v="7"/>
    <s v="Regular"/>
    <n v="9369999109462"/>
    <x v="1"/>
    <n v="3"/>
    <n v="16.5"/>
    <n v="0"/>
    <n v="0"/>
    <n v="0"/>
    <n v="16.5"/>
    <n v="0"/>
    <n v="16.5"/>
    <n v="3"/>
  </r>
  <r>
    <x v="8"/>
    <s v="Regular"/>
    <n v="9369900033374"/>
    <x v="1"/>
    <n v="10"/>
    <n v="55"/>
    <n v="0"/>
    <n v="0"/>
    <n v="0"/>
    <n v="55"/>
    <n v="0"/>
    <n v="55"/>
    <n v="10"/>
  </r>
  <r>
    <x v="9"/>
    <s v="Regular"/>
    <n v="9369999346478"/>
    <x v="1"/>
    <n v="4"/>
    <n v="22"/>
    <n v="0"/>
    <n v="0"/>
    <n v="0"/>
    <n v="22"/>
    <n v="0"/>
    <n v="22"/>
    <n v="4"/>
  </r>
  <r>
    <x v="10"/>
    <s v="Regular"/>
    <n v="9369998511068"/>
    <x v="1"/>
    <n v="1"/>
    <n v="5.5"/>
    <n v="0"/>
    <n v="0"/>
    <n v="0"/>
    <n v="5.5"/>
    <n v="0"/>
    <n v="5.5"/>
    <n v="1"/>
  </r>
  <r>
    <x v="11"/>
    <s v="Regular"/>
    <n v="7640230492805"/>
    <x v="1"/>
    <n v="1"/>
    <n v="3.95"/>
    <n v="0"/>
    <n v="0"/>
    <n v="-1.22"/>
    <n v="2.73"/>
    <n v="0"/>
    <n v="2.73"/>
    <n v="1"/>
  </r>
  <r>
    <x v="12"/>
    <s v="Regular"/>
    <n v="7640161879355"/>
    <x v="1"/>
    <n v="4"/>
    <n v="19.96"/>
    <n v="0"/>
    <n v="0"/>
    <n v="-1.77"/>
    <n v="18.190000000000001"/>
    <n v="1.84"/>
    <n v="20.03"/>
    <n v="4"/>
  </r>
  <r>
    <x v="13"/>
    <s v="Regular"/>
    <n v="9369998501953"/>
    <x v="1"/>
    <n v="3"/>
    <n v="12.54"/>
    <n v="0"/>
    <n v="0"/>
    <n v="0"/>
    <n v="12.54"/>
    <n v="1.26"/>
    <n v="13.8"/>
    <n v="3"/>
  </r>
  <r>
    <x v="14"/>
    <s v="Regular"/>
    <n v="9309001337025"/>
    <x v="1"/>
    <n v="3"/>
    <n v="26.75"/>
    <n v="0"/>
    <n v="0"/>
    <n v="-0.54"/>
    <n v="26.21"/>
    <n v="2.65"/>
    <n v="28.86"/>
    <n v="3"/>
  </r>
  <r>
    <x v="15"/>
    <s v="Regular"/>
    <n v="9421905971249"/>
    <x v="1"/>
    <n v="1"/>
    <n v="15.2"/>
    <n v="0"/>
    <n v="0"/>
    <n v="0"/>
    <n v="15.2"/>
    <n v="0"/>
    <n v="15.2"/>
    <n v="1"/>
  </r>
  <r>
    <x v="16"/>
    <s v="Regular"/>
    <n v="9421905971072"/>
    <x v="1"/>
    <n v="1"/>
    <n v="53.3"/>
    <n v="0"/>
    <n v="0"/>
    <n v="-7.35"/>
    <n v="45.95"/>
    <n v="0"/>
    <n v="45.95"/>
    <n v="1"/>
  </r>
  <r>
    <x v="17"/>
    <s v="Regular"/>
    <n v="4260311981450"/>
    <x v="1"/>
    <n v="2"/>
    <n v="12.17"/>
    <n v="0"/>
    <n v="0"/>
    <n v="0"/>
    <n v="12.17"/>
    <n v="1.23"/>
    <n v="13.4"/>
    <n v="2"/>
  </r>
  <r>
    <x v="18"/>
    <s v="Regular"/>
    <n v="9336595000318"/>
    <x v="1"/>
    <n v="1"/>
    <n v="5.0599999999999996"/>
    <n v="0"/>
    <n v="0"/>
    <n v="-1.75"/>
    <n v="3.31"/>
    <n v="0.34"/>
    <n v="3.65"/>
    <n v="1"/>
  </r>
  <r>
    <x v="19"/>
    <s v="Regular"/>
    <n v="9311254002490"/>
    <x v="2"/>
    <n v="1"/>
    <n v="14.1"/>
    <n v="0"/>
    <n v="0"/>
    <n v="0"/>
    <n v="14.1"/>
    <n v="0"/>
    <n v="14.1"/>
    <n v="1"/>
  </r>
  <r>
    <x v="20"/>
    <s v="Regular"/>
    <n v="5032722312227"/>
    <x v="2"/>
    <n v="2"/>
    <n v="18.600000000000001"/>
    <n v="0"/>
    <n v="0"/>
    <n v="0"/>
    <n v="18.600000000000001"/>
    <n v="0"/>
    <n v="18.600000000000001"/>
    <n v="2"/>
  </r>
  <r>
    <x v="21"/>
    <s v="Regular"/>
    <n v="5032722303607"/>
    <x v="2"/>
    <n v="1"/>
    <n v="8.9499999999999993"/>
    <n v="0"/>
    <n v="0"/>
    <n v="0"/>
    <n v="8.9499999999999993"/>
    <n v="0"/>
    <n v="8.9499999999999993"/>
    <n v="1"/>
  </r>
  <r>
    <x v="22"/>
    <s v="Regular"/>
    <n v="5032722305953"/>
    <x v="2"/>
    <n v="1"/>
    <n v="9.3000000000000007"/>
    <n v="0"/>
    <n v="0"/>
    <n v="0"/>
    <n v="9.3000000000000007"/>
    <n v="0"/>
    <n v="9.3000000000000007"/>
    <n v="1"/>
  </r>
  <r>
    <x v="23"/>
    <s v="Regular"/>
    <n v="9369998065462"/>
    <x v="2"/>
    <n v="4"/>
    <n v="68"/>
    <n v="0"/>
    <n v="0"/>
    <n v="-0.38"/>
    <n v="67.62"/>
    <n v="0"/>
    <n v="67.62"/>
    <n v="4"/>
  </r>
  <r>
    <x v="24"/>
    <s v="Regular"/>
    <n v="9320895001854"/>
    <x v="2"/>
    <n v="2"/>
    <n v="12.2"/>
    <n v="0"/>
    <n v="0"/>
    <n v="0"/>
    <n v="12.2"/>
    <n v="0"/>
    <n v="12.2"/>
    <n v="2"/>
  </r>
  <r>
    <x v="25"/>
    <s v="Regular"/>
    <n v="9358153000011"/>
    <x v="2"/>
    <n v="1"/>
    <n v="11.35"/>
    <n v="0"/>
    <n v="0"/>
    <n v="0"/>
    <n v="11.35"/>
    <n v="0"/>
    <n v="11.35"/>
    <n v="1"/>
  </r>
  <r>
    <x v="26"/>
    <s v="Regular"/>
    <n v="799439078857"/>
    <x v="2"/>
    <n v="1"/>
    <n v="10.7"/>
    <n v="0"/>
    <n v="0"/>
    <n v="0"/>
    <n v="10.7"/>
    <n v="0"/>
    <n v="10.7"/>
    <n v="1"/>
  </r>
  <r>
    <x v="27"/>
    <s v="Regular"/>
    <n v="799439079007"/>
    <x v="2"/>
    <n v="2"/>
    <n v="22.9"/>
    <n v="0"/>
    <n v="0"/>
    <n v="0"/>
    <n v="22.9"/>
    <n v="0"/>
    <n v="22.9"/>
    <n v="2"/>
  </r>
  <r>
    <x v="28"/>
    <s v="Regular"/>
    <n v="799439079038"/>
    <x v="2"/>
    <n v="1"/>
    <n v="15.3"/>
    <n v="0"/>
    <n v="0"/>
    <n v="0"/>
    <n v="15.3"/>
    <n v="0"/>
    <n v="15.3"/>
    <n v="1"/>
  </r>
  <r>
    <x v="29"/>
    <s v="Regular"/>
    <n v="9349227000198"/>
    <x v="2"/>
    <n v="7"/>
    <n v="54.95"/>
    <n v="0"/>
    <n v="0"/>
    <n v="-2.0099999999999998"/>
    <n v="52.94"/>
    <n v="0"/>
    <n v="52.94"/>
    <n v="7"/>
  </r>
  <r>
    <x v="30"/>
    <s v="Regular"/>
    <n v="9349227000211"/>
    <x v="2"/>
    <n v="4"/>
    <n v="47.6"/>
    <n v="0"/>
    <n v="0"/>
    <n v="-1.04"/>
    <n v="46.56"/>
    <n v="0"/>
    <n v="46.56"/>
    <n v="4"/>
  </r>
  <r>
    <x v="31"/>
    <s v="Regular"/>
    <n v="793618192747"/>
    <x v="2"/>
    <n v="1"/>
    <n v="13.95"/>
    <n v="0"/>
    <n v="0"/>
    <n v="0"/>
    <n v="13.95"/>
    <n v="0"/>
    <n v="13.95"/>
    <n v="1"/>
  </r>
  <r>
    <x v="32"/>
    <s v="Regular"/>
    <n v="754590186803"/>
    <x v="2"/>
    <n v="3"/>
    <n v="52.5"/>
    <n v="0"/>
    <n v="0"/>
    <n v="-17.5"/>
    <n v="35"/>
    <n v="0"/>
    <n v="35"/>
    <n v="3"/>
  </r>
  <r>
    <x v="33"/>
    <s v="Regular"/>
    <n v="735850488790"/>
    <x v="2"/>
    <n v="3"/>
    <n v="52.5"/>
    <n v="0"/>
    <n v="0"/>
    <n v="0"/>
    <n v="52.5"/>
    <n v="0"/>
    <n v="52.5"/>
    <n v="3"/>
  </r>
  <r>
    <x v="34"/>
    <s v="Regular"/>
    <n v="4000446011376"/>
    <x v="2"/>
    <n v="2"/>
    <n v="15.5"/>
    <n v="0"/>
    <n v="0"/>
    <n v="0"/>
    <n v="15.5"/>
    <n v="0"/>
    <n v="15.5"/>
    <n v="2"/>
  </r>
  <r>
    <x v="35"/>
    <s v="Regular"/>
    <n v="9325239000258"/>
    <x v="2"/>
    <n v="11"/>
    <n v="103.4"/>
    <n v="0"/>
    <n v="0"/>
    <n v="-10.119999999999999"/>
    <n v="93.28"/>
    <n v="0"/>
    <n v="93.28"/>
    <n v="11"/>
  </r>
  <r>
    <x v="36"/>
    <s v="Regular"/>
    <n v="9325239000074"/>
    <x v="2"/>
    <n v="2"/>
    <n v="18.8"/>
    <n v="0"/>
    <n v="0"/>
    <n v="-1.88"/>
    <n v="16.920000000000002"/>
    <n v="0"/>
    <n v="16.920000000000002"/>
    <n v="2"/>
  </r>
  <r>
    <x v="37"/>
    <s v="Regular"/>
    <n v="9325239000098"/>
    <x v="2"/>
    <n v="1"/>
    <n v="8.9499999999999993"/>
    <n v="0"/>
    <n v="0"/>
    <n v="0"/>
    <n v="8.9499999999999993"/>
    <n v="0"/>
    <n v="8.9499999999999993"/>
    <n v="1"/>
  </r>
  <r>
    <x v="38"/>
    <s v="Regular"/>
    <n v="9325239001019"/>
    <x v="2"/>
    <n v="2"/>
    <n v="20"/>
    <n v="0"/>
    <n v="0"/>
    <n v="-2.2599999999999998"/>
    <n v="17.739999999999998"/>
    <n v="0"/>
    <n v="17.739999999999998"/>
    <n v="2"/>
  </r>
  <r>
    <x v="39"/>
    <s v="Regular"/>
    <n v="9325239000128"/>
    <x v="2"/>
    <n v="3"/>
    <n v="28.2"/>
    <n v="0"/>
    <n v="0"/>
    <n v="0"/>
    <n v="28.2"/>
    <n v="0"/>
    <n v="28.2"/>
    <n v="3"/>
  </r>
  <r>
    <x v="40"/>
    <s v="Regular"/>
    <n v="9325239000081"/>
    <x v="2"/>
    <n v="1"/>
    <n v="10.8"/>
    <n v="0"/>
    <n v="0"/>
    <n v="0"/>
    <n v="10.8"/>
    <n v="0"/>
    <n v="10.8"/>
    <n v="1"/>
  </r>
  <r>
    <x v="41"/>
    <s v="Regular"/>
    <n v="9325239000791"/>
    <x v="2"/>
    <n v="1"/>
    <n v="9.4"/>
    <n v="0"/>
    <n v="0"/>
    <n v="-1.88"/>
    <n v="7.52"/>
    <n v="0"/>
    <n v="7.52"/>
    <n v="1"/>
  </r>
  <r>
    <x v="42"/>
    <s v="Regular"/>
    <n v="9325239000807"/>
    <x v="2"/>
    <n v="3"/>
    <n v="33.6"/>
    <n v="0"/>
    <n v="0"/>
    <n v="0"/>
    <n v="33.6"/>
    <n v="0"/>
    <n v="33.6"/>
    <n v="3"/>
  </r>
  <r>
    <x v="43"/>
    <s v="Regular"/>
    <n v="9369999349066"/>
    <x v="2"/>
    <n v="9"/>
    <n v="105.3"/>
    <n v="0"/>
    <n v="0"/>
    <n v="0"/>
    <n v="105.3"/>
    <n v="0"/>
    <n v="105.3"/>
    <n v="9"/>
  </r>
  <r>
    <x v="44"/>
    <s v="Regular"/>
    <n v="9369999111205"/>
    <x v="2"/>
    <n v="1"/>
    <n v="12.7"/>
    <n v="0"/>
    <n v="0"/>
    <n v="0"/>
    <n v="12.7"/>
    <n v="0"/>
    <n v="12.7"/>
    <n v="1"/>
  </r>
  <r>
    <x v="45"/>
    <s v="Regular"/>
    <n v="9369998219827"/>
    <x v="2"/>
    <n v="3"/>
    <n v="72"/>
    <n v="0"/>
    <n v="0"/>
    <n v="-1.51"/>
    <n v="70.489999999999995"/>
    <n v="0"/>
    <n v="70.489999999999995"/>
    <n v="3"/>
  </r>
  <r>
    <x v="46"/>
    <s v="Regular"/>
    <n v="9369998125777"/>
    <x v="2"/>
    <n v="3"/>
    <n v="72.599999999999994"/>
    <n v="0"/>
    <n v="0"/>
    <n v="-0.59"/>
    <n v="72.010000000000005"/>
    <n v="0"/>
    <n v="72.010000000000005"/>
    <n v="3"/>
  </r>
  <r>
    <x v="47"/>
    <s v="Regular"/>
    <n v="9369998409778"/>
    <x v="2"/>
    <n v="4"/>
    <n v="96"/>
    <n v="0"/>
    <n v="0"/>
    <n v="-0.57999999999999996"/>
    <n v="95.42"/>
    <n v="0"/>
    <n v="95.42"/>
    <n v="4"/>
  </r>
  <r>
    <x v="48"/>
    <s v="Regular"/>
    <n v="9369900041546"/>
    <x v="2"/>
    <n v="3"/>
    <n v="34.200000000000003"/>
    <n v="0"/>
    <n v="0"/>
    <n v="0"/>
    <n v="34.200000000000003"/>
    <n v="0"/>
    <n v="34.200000000000003"/>
    <n v="3"/>
  </r>
  <r>
    <x v="49"/>
    <s v="Regular"/>
    <n v="850306006233"/>
    <x v="2"/>
    <n v="1"/>
    <n v="20.7"/>
    <n v="0"/>
    <n v="0"/>
    <n v="0"/>
    <n v="20.7"/>
    <n v="0"/>
    <n v="20.7"/>
    <n v="1"/>
  </r>
  <r>
    <x v="50"/>
    <s v="Regular"/>
    <n v="9327546002154"/>
    <x v="2"/>
    <n v="1"/>
    <n v="17.2"/>
    <n v="0"/>
    <n v="0"/>
    <n v="0"/>
    <n v="17.2"/>
    <n v="0"/>
    <n v="17.2"/>
    <n v="1"/>
  </r>
  <r>
    <x v="51"/>
    <s v="Regular"/>
    <n v="9369999033712"/>
    <x v="2"/>
    <n v="2"/>
    <n v="26.5"/>
    <n v="0"/>
    <n v="0"/>
    <n v="-1.1599999999999999"/>
    <n v="25.34"/>
    <n v="0"/>
    <n v="25.34"/>
    <n v="2"/>
  </r>
  <r>
    <x v="52"/>
    <s v="Regular"/>
    <n v="9347509000027"/>
    <x v="3"/>
    <n v="2"/>
    <n v="79"/>
    <n v="0"/>
    <n v="0"/>
    <n v="-24.76"/>
    <n v="54.24"/>
    <n v="0"/>
    <n v="54.24"/>
    <n v="2"/>
  </r>
  <r>
    <x v="53"/>
    <s v="Regular"/>
    <n v="39978111135"/>
    <x v="3"/>
    <n v="1"/>
    <n v="19.5"/>
    <n v="0"/>
    <n v="0"/>
    <n v="0"/>
    <n v="19.5"/>
    <n v="0"/>
    <n v="19.5"/>
    <n v="1"/>
  </r>
  <r>
    <x v="54"/>
    <s v="Regular"/>
    <n v="39978029539"/>
    <x v="3"/>
    <n v="1"/>
    <n v="11.9"/>
    <n v="0"/>
    <n v="0"/>
    <n v="0"/>
    <n v="11.9"/>
    <n v="0"/>
    <n v="11.9"/>
    <n v="1"/>
  </r>
  <r>
    <x v="55"/>
    <s v="Regular"/>
    <n v="39978013873"/>
    <x v="3"/>
    <n v="1"/>
    <n v="24.7"/>
    <n v="0"/>
    <n v="0"/>
    <n v="0"/>
    <n v="24.7"/>
    <n v="0"/>
    <n v="24.7"/>
    <n v="1"/>
  </r>
  <r>
    <x v="56"/>
    <s v="Regular"/>
    <n v="9415748004301"/>
    <x v="3"/>
    <n v="1"/>
    <n v="13.95"/>
    <n v="0"/>
    <n v="0"/>
    <n v="0"/>
    <n v="13.95"/>
    <n v="0"/>
    <n v="13.95"/>
    <n v="1"/>
  </r>
  <r>
    <x v="57"/>
    <s v="Regular"/>
    <n v="9339337307997"/>
    <x v="3"/>
    <n v="1"/>
    <n v="9.4499999999999993"/>
    <n v="0"/>
    <n v="0"/>
    <n v="0"/>
    <n v="9.4499999999999993"/>
    <n v="0"/>
    <n v="9.4499999999999993"/>
    <n v="1"/>
  </r>
  <r>
    <x v="58"/>
    <s v="Regular"/>
    <n v="9346430000557"/>
    <x v="3"/>
    <n v="1"/>
    <n v="18.8"/>
    <n v="0"/>
    <n v="0"/>
    <n v="-0.48"/>
    <n v="18.32"/>
    <n v="0"/>
    <n v="18.32"/>
    <n v="1"/>
  </r>
  <r>
    <x v="59"/>
    <s v="Regular"/>
    <n v="9321921001176"/>
    <x v="3"/>
    <n v="1"/>
    <n v="12.2"/>
    <n v="0"/>
    <n v="0"/>
    <n v="0"/>
    <n v="12.2"/>
    <n v="0"/>
    <n v="12.2"/>
    <n v="1"/>
  </r>
  <r>
    <x v="60"/>
    <s v="Regular"/>
    <n v="9353707000134"/>
    <x v="3"/>
    <n v="1"/>
    <n v="18.95"/>
    <n v="0"/>
    <n v="0"/>
    <n v="0"/>
    <n v="18.95"/>
    <n v="0"/>
    <n v="18.95"/>
    <n v="1"/>
  </r>
  <r>
    <x v="61"/>
    <s v="Regular"/>
    <n v="9316702001018"/>
    <x v="3"/>
    <n v="1"/>
    <n v="6.6"/>
    <n v="0"/>
    <n v="0"/>
    <n v="0"/>
    <n v="6.6"/>
    <n v="0"/>
    <n v="6.6"/>
    <n v="1"/>
  </r>
  <r>
    <x v="62"/>
    <s v="Regular"/>
    <n v="797776058754"/>
    <x v="3"/>
    <n v="1"/>
    <n v="30.45"/>
    <n v="0"/>
    <n v="0"/>
    <n v="-6.09"/>
    <n v="24.36"/>
    <n v="0"/>
    <n v="24.36"/>
    <n v="1"/>
  </r>
  <r>
    <x v="63"/>
    <s v="Regular"/>
    <n v="9351857000806"/>
    <x v="3"/>
    <n v="2"/>
    <n v="23.3"/>
    <n v="0"/>
    <n v="0"/>
    <n v="-1.57"/>
    <n v="21.73"/>
    <n v="2.2000000000000002"/>
    <n v="23.93"/>
    <n v="2"/>
  </r>
  <r>
    <x v="64"/>
    <s v="Regular"/>
    <n v="9351857001148"/>
    <x v="3"/>
    <n v="2"/>
    <n v="32.65"/>
    <n v="0"/>
    <n v="0"/>
    <n v="-0.56999999999999995"/>
    <n v="32.08"/>
    <n v="3.25"/>
    <n v="35.33"/>
    <n v="2"/>
  </r>
  <r>
    <x v="65"/>
    <s v="Regular"/>
    <n v="9351857001346"/>
    <x v="3"/>
    <n v="1"/>
    <n v="25.93"/>
    <n v="0"/>
    <n v="0"/>
    <n v="0"/>
    <n v="25.93"/>
    <n v="2.62"/>
    <n v="28.55"/>
    <n v="1"/>
  </r>
  <r>
    <x v="66"/>
    <s v="Regular"/>
    <n v="9351857000004"/>
    <x v="3"/>
    <n v="2"/>
    <n v="46.7"/>
    <n v="0"/>
    <n v="0"/>
    <n v="0"/>
    <n v="46.7"/>
    <n v="0"/>
    <n v="46.7"/>
    <n v="2"/>
  </r>
  <r>
    <x v="67"/>
    <s v="Regular"/>
    <n v="9351857000028"/>
    <x v="3"/>
    <n v="1"/>
    <n v="24.07"/>
    <n v="0"/>
    <n v="0"/>
    <n v="0"/>
    <n v="24.07"/>
    <n v="2.4300000000000002"/>
    <n v="26.5"/>
    <n v="1"/>
  </r>
  <r>
    <x v="68"/>
    <s v="Regular"/>
    <n v="58449860020"/>
    <x v="3"/>
    <n v="2"/>
    <n v="26.2"/>
    <n v="0"/>
    <n v="0"/>
    <n v="-0.32"/>
    <n v="25.88"/>
    <n v="0"/>
    <n v="25.88"/>
    <n v="2"/>
  </r>
  <r>
    <x v="69"/>
    <s v="Regular"/>
    <n v="58449860037"/>
    <x v="3"/>
    <n v="1"/>
    <n v="13.1"/>
    <n v="0"/>
    <n v="0"/>
    <n v="0"/>
    <n v="13.1"/>
    <n v="0"/>
    <n v="13.1"/>
    <n v="1"/>
  </r>
  <r>
    <x v="70"/>
    <s v="Regular"/>
    <n v="9361410000051"/>
    <x v="4"/>
    <n v="1"/>
    <n v="36.700000000000003"/>
    <n v="0"/>
    <n v="0"/>
    <n v="0"/>
    <n v="36.700000000000003"/>
    <n v="0"/>
    <n v="36.700000000000003"/>
    <n v="1"/>
  </r>
  <r>
    <x v="71"/>
    <s v="Regular"/>
    <n v="9361410000020"/>
    <x v="4"/>
    <n v="1"/>
    <n v="39.65"/>
    <n v="0"/>
    <n v="0"/>
    <n v="0"/>
    <n v="39.65"/>
    <n v="0"/>
    <n v="39.65"/>
    <n v="1"/>
  </r>
  <r>
    <x v="72"/>
    <s v="Regular"/>
    <n v="797776454372"/>
    <x v="4"/>
    <n v="1"/>
    <n v="28.75"/>
    <n v="0"/>
    <n v="0"/>
    <n v="0"/>
    <n v="28.75"/>
    <n v="0"/>
    <n v="28.75"/>
    <n v="1"/>
  </r>
  <r>
    <x v="73"/>
    <s v="Regular"/>
    <n v="80687474134"/>
    <x v="4"/>
    <n v="1"/>
    <n v="17.7"/>
    <n v="0"/>
    <n v="0"/>
    <n v="0"/>
    <n v="17.7"/>
    <n v="0"/>
    <n v="17.7"/>
    <n v="1"/>
  </r>
  <r>
    <x v="74"/>
    <s v="Regular"/>
    <n v="80687436460"/>
    <x v="4"/>
    <n v="1"/>
    <n v="28.75"/>
    <n v="0"/>
    <n v="0"/>
    <n v="0"/>
    <n v="28.75"/>
    <n v="0"/>
    <n v="28.75"/>
    <n v="1"/>
  </r>
  <r>
    <x v="75"/>
    <s v="Regular"/>
    <n v="80687474141"/>
    <x v="4"/>
    <n v="1"/>
    <n v="17.7"/>
    <n v="0"/>
    <n v="0"/>
    <n v="0"/>
    <n v="17.7"/>
    <n v="0"/>
    <n v="17.7"/>
    <n v="1"/>
  </r>
  <r>
    <x v="76"/>
    <s v="Regular"/>
    <n v="797776454389"/>
    <x v="4"/>
    <n v="1"/>
    <n v="17.399999999999999"/>
    <n v="0"/>
    <n v="0"/>
    <n v="0"/>
    <n v="17.399999999999999"/>
    <n v="0"/>
    <n v="17.399999999999999"/>
    <n v="1"/>
  </r>
  <r>
    <x v="77"/>
    <s v="Regular"/>
    <n v="797776454365"/>
    <x v="4"/>
    <n v="3"/>
    <n v="51.9"/>
    <n v="0"/>
    <n v="0"/>
    <n v="0"/>
    <n v="51.9"/>
    <n v="0"/>
    <n v="51.9"/>
    <n v="3"/>
  </r>
  <r>
    <x v="78"/>
    <s v="Regular"/>
    <n v="797776188024"/>
    <x v="4"/>
    <n v="1"/>
    <n v="37.4"/>
    <n v="0"/>
    <n v="0"/>
    <n v="0"/>
    <n v="37.4"/>
    <n v="0"/>
    <n v="37.4"/>
    <n v="1"/>
  </r>
  <r>
    <x v="79"/>
    <s v="Regular"/>
    <n v="9344081000445"/>
    <x v="4"/>
    <n v="1"/>
    <n v="20.9"/>
    <n v="0"/>
    <n v="0"/>
    <n v="0"/>
    <n v="20.9"/>
    <n v="0"/>
    <n v="20.9"/>
    <n v="1"/>
  </r>
  <r>
    <x v="80"/>
    <s v="Regular"/>
    <n v="9344081000421"/>
    <x v="4"/>
    <n v="1"/>
    <n v="22"/>
    <n v="0"/>
    <n v="0"/>
    <n v="0"/>
    <n v="22"/>
    <n v="0"/>
    <n v="22"/>
    <n v="1"/>
  </r>
  <r>
    <x v="81"/>
    <s v="Regular"/>
    <n v="784927404126"/>
    <x v="4"/>
    <n v="1"/>
    <n v="17"/>
    <n v="0"/>
    <n v="0"/>
    <n v="0"/>
    <n v="17"/>
    <n v="0"/>
    <n v="17"/>
    <n v="1"/>
  </r>
  <r>
    <x v="82"/>
    <s v="Regular"/>
    <n v="702382585280"/>
    <x v="4"/>
    <n v="1"/>
    <n v="24.4"/>
    <n v="0"/>
    <n v="0"/>
    <n v="0"/>
    <n v="24.4"/>
    <n v="0"/>
    <n v="24.4"/>
    <n v="1"/>
  </r>
  <r>
    <x v="83"/>
    <s v="Regular"/>
    <n v="9351857006020"/>
    <x v="5"/>
    <n v="1"/>
    <n v="15.9"/>
    <n v="0"/>
    <n v="0"/>
    <n v="0"/>
    <n v="15.9"/>
    <n v="0"/>
    <n v="15.9"/>
    <n v="1"/>
  </r>
  <r>
    <x v="84"/>
    <s v="Regular"/>
    <n v="9421903648006"/>
    <x v="5"/>
    <n v="1"/>
    <n v="12.49"/>
    <n v="0"/>
    <n v="0"/>
    <n v="0"/>
    <n v="12.49"/>
    <n v="1.26"/>
    <n v="13.75"/>
    <n v="1"/>
  </r>
  <r>
    <x v="85"/>
    <s v="Babyccino"/>
    <n v="3909534"/>
    <x v="6"/>
    <n v="5"/>
    <n v="15.12"/>
    <n v="0"/>
    <n v="0"/>
    <n v="-6.5"/>
    <n v="8.6199999999999992"/>
    <n v="0.88"/>
    <n v="9.5"/>
    <n v="5"/>
  </r>
  <r>
    <x v="85"/>
    <s v="Bulletproof Coffee"/>
    <n v="5196823"/>
    <x v="6"/>
    <n v="2"/>
    <n v="16.350000000000001"/>
    <n v="0"/>
    <n v="0"/>
    <n v="0"/>
    <n v="16.350000000000001"/>
    <n v="1.65"/>
    <n v="18"/>
    <n v="2"/>
  </r>
  <r>
    <x v="85"/>
    <s v="Cappuccino"/>
    <s v="881153D"/>
    <x v="6"/>
    <n v="41"/>
    <n v="231.97"/>
    <n v="0"/>
    <n v="0"/>
    <n v="-3.92"/>
    <n v="228.05"/>
    <n v="23.03"/>
    <n v="251.08"/>
    <n v="41"/>
  </r>
  <r>
    <x v="85"/>
    <s v="Doppio"/>
    <s v="926926N"/>
    <x v="6"/>
    <n v="1"/>
    <n v="4.99"/>
    <n v="0"/>
    <n v="0"/>
    <n v="0"/>
    <n v="4.99"/>
    <n v="0.51"/>
    <n v="5.5"/>
    <n v="1"/>
  </r>
  <r>
    <x v="85"/>
    <s v="Espresso"/>
    <n v="8542257"/>
    <x v="6"/>
    <n v="6"/>
    <n v="29.06"/>
    <n v="0"/>
    <n v="0"/>
    <n v="0"/>
    <n v="29.06"/>
    <n v="2.94"/>
    <n v="32"/>
    <n v="6"/>
  </r>
  <r>
    <x v="85"/>
    <s v="Flat White"/>
    <n v="7426628"/>
    <x v="6"/>
    <n v="45"/>
    <n v="248.4"/>
    <n v="0"/>
    <n v="0"/>
    <n v="-0.5"/>
    <n v="247.9"/>
    <n v="25.1"/>
    <n v="273"/>
    <n v="45"/>
  </r>
  <r>
    <x v="85"/>
    <s v="Latte"/>
    <s v="R657612"/>
    <x v="6"/>
    <n v="20"/>
    <n v="112.14"/>
    <n v="-1"/>
    <n v="-6.36"/>
    <n v="0"/>
    <n v="105.78"/>
    <n v="10.72"/>
    <n v="116.5"/>
    <n v="20"/>
  </r>
  <r>
    <x v="85"/>
    <s v="Long Black"/>
    <s v="J140683"/>
    <x v="6"/>
    <n v="11"/>
    <n v="59.45"/>
    <n v="0"/>
    <n v="0"/>
    <n v="0"/>
    <n v="59.45"/>
    <n v="6.05"/>
    <n v="65.5"/>
    <n v="11"/>
  </r>
  <r>
    <x v="85"/>
    <s v="Macchiato"/>
    <s v="H889975"/>
    <x v="6"/>
    <n v="1"/>
    <n v="4.99"/>
    <n v="0"/>
    <n v="0"/>
    <n v="0"/>
    <n v="4.99"/>
    <n v="0.51"/>
    <n v="5.5"/>
    <n v="1"/>
  </r>
  <r>
    <x v="85"/>
    <s v="Mocha"/>
    <s v="D208197"/>
    <x v="6"/>
    <n v="2"/>
    <n v="12.71"/>
    <n v="0"/>
    <n v="0"/>
    <n v="0"/>
    <n v="12.71"/>
    <n v="1.29"/>
    <n v="14"/>
    <n v="2"/>
  </r>
  <r>
    <x v="85"/>
    <s v="Piccolo"/>
    <s v="J674641"/>
    <x v="6"/>
    <n v="7"/>
    <n v="35.47"/>
    <n v="0"/>
    <n v="0"/>
    <n v="-0.67"/>
    <n v="34.799999999999997"/>
    <n v="3.53"/>
    <n v="38.33"/>
    <n v="7"/>
  </r>
  <r>
    <x v="86"/>
    <s v="Iced Berry Matcha"/>
    <s v="J983803"/>
    <x v="6"/>
    <n v="23"/>
    <n v="174.68"/>
    <n v="0"/>
    <n v="0"/>
    <n v="0"/>
    <n v="174.68"/>
    <n v="17.670000000000002"/>
    <n v="192.35"/>
    <n v="23"/>
  </r>
  <r>
    <x v="86"/>
    <s v="Iced Chocolate"/>
    <n v="9033117"/>
    <x v="6"/>
    <n v="3"/>
    <n v="19.98"/>
    <n v="0"/>
    <n v="0"/>
    <n v="0"/>
    <n v="19.98"/>
    <n v="2.02"/>
    <n v="22"/>
    <n v="3"/>
  </r>
  <r>
    <x v="86"/>
    <s v="Iced Coconut Matcha Cloud"/>
    <s v="B997048"/>
    <x v="6"/>
    <n v="27"/>
    <n v="197.45"/>
    <n v="0"/>
    <n v="0"/>
    <n v="-2.73"/>
    <n v="194.72"/>
    <n v="19.7"/>
    <n v="214.42"/>
    <n v="27"/>
  </r>
  <r>
    <x v="86"/>
    <s v="Iced Latte"/>
    <s v="159815F"/>
    <x v="6"/>
    <n v="38"/>
    <n v="263.63"/>
    <n v="0"/>
    <n v="0"/>
    <n v="-2.8"/>
    <n v="260.83"/>
    <n v="26.37"/>
    <n v="287.2"/>
    <n v="38"/>
  </r>
  <r>
    <x v="86"/>
    <s v="Iced Long Black"/>
    <n v="3319750"/>
    <x v="6"/>
    <n v="6"/>
    <n v="36.46"/>
    <n v="0"/>
    <n v="0"/>
    <n v="-1.3"/>
    <n v="35.159999999999997"/>
    <n v="3.54"/>
    <n v="38.700000000000003"/>
    <n v="6"/>
  </r>
  <r>
    <x v="86"/>
    <s v="Iced Matcha"/>
    <s v="C021316"/>
    <x v="6"/>
    <n v="41"/>
    <n v="305.72000000000003"/>
    <n v="0"/>
    <n v="0"/>
    <n v="-7.09"/>
    <n v="298.63"/>
    <n v="30.13"/>
    <n v="328.76"/>
    <n v="41"/>
  </r>
  <r>
    <x v="86"/>
    <s v="Iced Mocha"/>
    <s v="892152J"/>
    <x v="6"/>
    <n v="4"/>
    <n v="26.65"/>
    <n v="0"/>
    <n v="0"/>
    <n v="0"/>
    <n v="26.65"/>
    <n v="2.7"/>
    <n v="29.35"/>
    <n v="4"/>
  </r>
  <r>
    <x v="86"/>
    <s v="Iced Sticky Prana Chai"/>
    <s v="674353H"/>
    <x v="6"/>
    <n v="3"/>
    <n v="20.03"/>
    <n v="0"/>
    <n v="0"/>
    <n v="-1.4"/>
    <n v="18.63"/>
    <n v="1.87"/>
    <n v="20.5"/>
    <n v="3"/>
  </r>
  <r>
    <x v="86"/>
    <s v="Iced VEGAN Coconut Matcha Cloud"/>
    <s v="830079T"/>
    <x v="6"/>
    <n v="3"/>
    <n v="23.93"/>
    <n v="0"/>
    <n v="0"/>
    <n v="0"/>
    <n v="23.93"/>
    <n v="2.42"/>
    <n v="26.35"/>
    <n v="3"/>
  </r>
  <r>
    <x v="87"/>
    <s v="Regular"/>
    <n v="8632208"/>
    <x v="6"/>
    <n v="14"/>
    <n v="203"/>
    <n v="0"/>
    <n v="0"/>
    <n v="-2.54"/>
    <n v="200.46"/>
    <n v="0"/>
    <n v="200.46"/>
    <n v="14"/>
  </r>
  <r>
    <x v="88"/>
    <s v="Regular"/>
    <s v="D414315"/>
    <x v="6"/>
    <n v="23"/>
    <n v="322"/>
    <n v="0"/>
    <n v="0"/>
    <n v="-10.42"/>
    <n v="311.58"/>
    <n v="0"/>
    <n v="311.58"/>
    <n v="23"/>
  </r>
  <r>
    <x v="89"/>
    <s v="Bone Broth"/>
    <n v="5753591"/>
    <x v="6"/>
    <n v="13"/>
    <n v="77.709999999999994"/>
    <n v="0"/>
    <n v="0"/>
    <n v="-1.1000000000000001"/>
    <n v="76.61"/>
    <n v="7.79"/>
    <n v="84.4"/>
    <n v="13"/>
  </r>
  <r>
    <x v="89"/>
    <s v="Ceremonial Cacao"/>
    <n v="6505594"/>
    <x v="6"/>
    <n v="7"/>
    <n v="51.35"/>
    <n v="0"/>
    <n v="0"/>
    <n v="-5.29"/>
    <n v="46.06"/>
    <n v="4.6500000000000004"/>
    <n v="50.71"/>
    <n v="7"/>
  </r>
  <r>
    <x v="89"/>
    <s v="Hot Chocolate"/>
    <s v="A458335"/>
    <x v="6"/>
    <n v="13"/>
    <n v="74.45"/>
    <n v="0"/>
    <n v="0"/>
    <n v="0"/>
    <n v="74.45"/>
    <n v="7.55"/>
    <n v="82"/>
    <n v="13"/>
  </r>
  <r>
    <x v="89"/>
    <s v="Matcha"/>
    <s v="Q388637"/>
    <x v="6"/>
    <n v="14"/>
    <n v="93.88"/>
    <n v="0"/>
    <n v="0"/>
    <n v="-8.4"/>
    <n v="85.48"/>
    <n v="8.6199999999999992"/>
    <n v="94.1"/>
    <n v="14"/>
  </r>
  <r>
    <x v="89"/>
    <s v="Prana Sticky Chai"/>
    <n v="6305179"/>
    <x v="6"/>
    <n v="13"/>
    <n v="96.74"/>
    <n v="0"/>
    <n v="0"/>
    <n v="-5"/>
    <n v="91.74"/>
    <n v="9.26"/>
    <n v="101"/>
    <n v="13"/>
  </r>
  <r>
    <x v="89"/>
    <s v="Turmeric Latte"/>
    <s v="444601J"/>
    <x v="6"/>
    <n v="8"/>
    <n v="52.46"/>
    <n v="0"/>
    <n v="0"/>
    <n v="-2.41"/>
    <n v="50.05"/>
    <n v="5.04"/>
    <n v="55.09"/>
    <n v="8"/>
  </r>
  <r>
    <x v="90"/>
    <s v="Chamomile"/>
    <s v="C522562"/>
    <x v="6"/>
    <n v="1"/>
    <n v="4.54"/>
    <n v="0"/>
    <n v="0"/>
    <n v="0"/>
    <n v="4.54"/>
    <n v="0.46"/>
    <n v="5"/>
    <n v="1"/>
  </r>
  <r>
    <x v="90"/>
    <s v="English Breakfast"/>
    <n v="6769779"/>
    <x v="6"/>
    <n v="6"/>
    <n v="27.24"/>
    <n v="0"/>
    <n v="0"/>
    <n v="0"/>
    <n v="27.24"/>
    <n v="2.76"/>
    <n v="30"/>
    <n v="6"/>
  </r>
  <r>
    <x v="90"/>
    <s v="Mint Tea"/>
    <n v="4245866"/>
    <x v="6"/>
    <n v="1"/>
    <n v="4.54"/>
    <n v="0"/>
    <n v="0"/>
    <n v="0"/>
    <n v="4.54"/>
    <n v="0.46"/>
    <n v="5"/>
    <n v="1"/>
  </r>
  <r>
    <x v="91"/>
    <s v="Regular"/>
    <n v="9316131504500"/>
    <x v="7"/>
    <n v="3"/>
    <n v="18.39"/>
    <n v="0"/>
    <n v="0"/>
    <n v="0"/>
    <n v="18.39"/>
    <n v="1.86"/>
    <n v="20.25"/>
    <n v="3"/>
  </r>
  <r>
    <x v="92"/>
    <s v="Regular"/>
    <n v="9421003263482"/>
    <x v="7"/>
    <n v="1"/>
    <n v="21.48"/>
    <n v="0"/>
    <n v="0"/>
    <n v="0"/>
    <n v="21.48"/>
    <n v="2.17"/>
    <n v="23.65"/>
    <n v="1"/>
  </r>
  <r>
    <x v="93"/>
    <s v="Regular"/>
    <n v="9359171000007"/>
    <x v="7"/>
    <n v="5"/>
    <n v="24.16"/>
    <n v="0"/>
    <n v="0"/>
    <n v="-1.06"/>
    <n v="23.1"/>
    <n v="2.34"/>
    <n v="25.44"/>
    <n v="5"/>
  </r>
  <r>
    <x v="94"/>
    <s v="Regular"/>
    <n v="93577465"/>
    <x v="7"/>
    <n v="12"/>
    <n v="17.420000000000002"/>
    <n v="0"/>
    <n v="0"/>
    <n v="0"/>
    <n v="17.420000000000002"/>
    <n v="1.78"/>
    <n v="19.2"/>
    <n v="12"/>
  </r>
  <r>
    <x v="95"/>
    <s v="Regular"/>
    <n v="9369998324521"/>
    <x v="7"/>
    <n v="6"/>
    <n v="29.47"/>
    <n v="0"/>
    <n v="0"/>
    <n v="-6.36"/>
    <n v="23.11"/>
    <n v="2.33"/>
    <n v="25.44"/>
    <n v="6"/>
  </r>
  <r>
    <x v="96"/>
    <s v="Regular"/>
    <n v="9359171000380"/>
    <x v="7"/>
    <n v="1"/>
    <n v="9.7200000000000006"/>
    <n v="0"/>
    <n v="0"/>
    <n v="0"/>
    <n v="9.7200000000000006"/>
    <n v="0.98"/>
    <n v="10.7"/>
    <n v="1"/>
  </r>
  <r>
    <x v="97"/>
    <s v="Regular"/>
    <n v="9359171000106"/>
    <x v="7"/>
    <n v="2"/>
    <n v="10.11"/>
    <n v="0"/>
    <n v="0"/>
    <n v="-5.3"/>
    <n v="4.8099999999999996"/>
    <n v="0.49"/>
    <n v="5.3"/>
    <n v="2"/>
  </r>
  <r>
    <x v="98"/>
    <s v="Regular"/>
    <n v="9369998151394"/>
    <x v="7"/>
    <n v="2"/>
    <n v="9.6300000000000008"/>
    <n v="0"/>
    <n v="0"/>
    <n v="0"/>
    <n v="9.6300000000000008"/>
    <n v="0.97"/>
    <n v="10.6"/>
    <n v="2"/>
  </r>
  <r>
    <x v="99"/>
    <s v="Regular"/>
    <n v="649815000524"/>
    <x v="7"/>
    <n v="2"/>
    <n v="9.9"/>
    <n v="0"/>
    <n v="0"/>
    <n v="0"/>
    <n v="9.9"/>
    <n v="1"/>
    <n v="10.9"/>
    <n v="2"/>
  </r>
  <r>
    <x v="100"/>
    <s v="Regular"/>
    <n v="851686002495"/>
    <x v="7"/>
    <n v="1"/>
    <n v="10.4"/>
    <n v="0"/>
    <n v="0"/>
    <n v="0"/>
    <n v="10.4"/>
    <n v="1.05"/>
    <n v="11.45"/>
    <n v="1"/>
  </r>
  <r>
    <x v="101"/>
    <s v="Regular"/>
    <n v="830028001457"/>
    <x v="7"/>
    <n v="2"/>
    <n v="5.63"/>
    <n v="0"/>
    <n v="0"/>
    <n v="0"/>
    <n v="5.63"/>
    <n v="0.56999999999999995"/>
    <n v="6.2"/>
    <n v="2"/>
  </r>
  <r>
    <x v="102"/>
    <s v="Regular"/>
    <n v="830028009095"/>
    <x v="7"/>
    <n v="1"/>
    <n v="5.08"/>
    <n v="0"/>
    <n v="0"/>
    <n v="0"/>
    <n v="5.08"/>
    <n v="0.52"/>
    <n v="5.6"/>
    <n v="1"/>
  </r>
  <r>
    <x v="103"/>
    <s v="Regular"/>
    <n v="830028009033"/>
    <x v="7"/>
    <n v="4"/>
    <n v="20.36"/>
    <n v="0"/>
    <n v="0"/>
    <n v="0"/>
    <n v="20.36"/>
    <n v="2.04"/>
    <n v="22.4"/>
    <n v="4"/>
  </r>
  <r>
    <x v="104"/>
    <s v="Regular"/>
    <n v="830028000849"/>
    <x v="7"/>
    <n v="2"/>
    <n v="16.34"/>
    <n v="0"/>
    <n v="0"/>
    <n v="0"/>
    <n v="16.34"/>
    <n v="1.66"/>
    <n v="18"/>
    <n v="2"/>
  </r>
  <r>
    <x v="105"/>
    <s v="Regular"/>
    <n v="734027981010"/>
    <x v="7"/>
    <n v="1"/>
    <n v="4.7699999999999996"/>
    <n v="0"/>
    <n v="0"/>
    <n v="0"/>
    <n v="4.7699999999999996"/>
    <n v="0.48"/>
    <n v="5.25"/>
    <n v="1"/>
  </r>
  <r>
    <x v="106"/>
    <s v="Regular"/>
    <n v="9357030000199"/>
    <x v="7"/>
    <n v="3"/>
    <n v="33.51"/>
    <n v="0"/>
    <n v="0"/>
    <n v="-1.23"/>
    <n v="32.28"/>
    <n v="3.24"/>
    <n v="35.520000000000003"/>
    <n v="3"/>
  </r>
  <r>
    <x v="107"/>
    <s v="Regular"/>
    <n v="9357030000168"/>
    <x v="7"/>
    <n v="6"/>
    <n v="66.959999999999994"/>
    <n v="0"/>
    <n v="0"/>
    <n v="-2.4500000000000002"/>
    <n v="64.510000000000005"/>
    <n v="6.54"/>
    <n v="71.05"/>
    <n v="6"/>
  </r>
  <r>
    <x v="108"/>
    <s v="Regular"/>
    <n v="9357030000182"/>
    <x v="7"/>
    <n v="3"/>
    <n v="33.4"/>
    <n v="0"/>
    <n v="0"/>
    <n v="-0.31"/>
    <n v="33.090000000000003"/>
    <n v="3.35"/>
    <n v="36.44"/>
    <n v="3"/>
  </r>
  <r>
    <x v="109"/>
    <s v="Regular"/>
    <n v="9357030000175"/>
    <x v="7"/>
    <n v="4"/>
    <n v="44.6"/>
    <n v="0"/>
    <n v="0"/>
    <n v="-1.1100000000000001"/>
    <n v="43.49"/>
    <n v="4.4000000000000004"/>
    <n v="47.89"/>
    <n v="4"/>
  </r>
  <r>
    <x v="110"/>
    <s v="Regular"/>
    <n v="5745000121014"/>
    <x v="7"/>
    <n v="2"/>
    <n v="6.26"/>
    <n v="0"/>
    <n v="0"/>
    <n v="0"/>
    <n v="6.26"/>
    <n v="0.64"/>
    <n v="6.9"/>
    <n v="2"/>
  </r>
  <r>
    <x v="111"/>
    <s v="Regular"/>
    <n v="5745000121588"/>
    <x v="7"/>
    <n v="2"/>
    <n v="6.27"/>
    <n v="0"/>
    <n v="0"/>
    <n v="-0.08"/>
    <n v="6.19"/>
    <n v="0.63"/>
    <n v="6.82"/>
    <n v="2"/>
  </r>
  <r>
    <x v="112"/>
    <s v="Regular"/>
    <n v="5745000121397"/>
    <x v="7"/>
    <n v="4"/>
    <n v="12.36"/>
    <n v="0"/>
    <n v="0"/>
    <n v="0"/>
    <n v="12.36"/>
    <n v="1.24"/>
    <n v="13.6"/>
    <n v="4"/>
  </r>
  <r>
    <x v="113"/>
    <s v="Regular"/>
    <n v="9351775002555"/>
    <x v="7"/>
    <n v="1"/>
    <n v="4.91"/>
    <n v="0"/>
    <n v="0"/>
    <n v="-1.06"/>
    <n v="3.85"/>
    <n v="0.39"/>
    <n v="4.24"/>
    <n v="1"/>
  </r>
  <r>
    <x v="114"/>
    <s v="Regular"/>
    <n v="9351775002258"/>
    <x v="7"/>
    <n v="3"/>
    <n v="14.43"/>
    <n v="0"/>
    <n v="0"/>
    <n v="0"/>
    <n v="14.43"/>
    <n v="1.47"/>
    <n v="15.9"/>
    <n v="3"/>
  </r>
  <r>
    <x v="115"/>
    <s v="Regular"/>
    <n v="9351775002562"/>
    <x v="7"/>
    <n v="1"/>
    <n v="4.82"/>
    <n v="0"/>
    <n v="0"/>
    <n v="0"/>
    <n v="4.82"/>
    <n v="0.48"/>
    <n v="5.3"/>
    <n v="1"/>
  </r>
  <r>
    <x v="116"/>
    <s v="Regular"/>
    <n v="810165015012"/>
    <x v="7"/>
    <n v="1"/>
    <n v="3"/>
    <n v="0"/>
    <n v="0"/>
    <n v="0"/>
    <n v="3"/>
    <n v="0.3"/>
    <n v="3.3"/>
    <n v="1"/>
  </r>
  <r>
    <x v="117"/>
    <s v="Regular"/>
    <n v="9341252000440"/>
    <x v="8"/>
    <n v="1"/>
    <n v="13.1"/>
    <n v="0"/>
    <n v="0"/>
    <n v="0"/>
    <n v="13.1"/>
    <n v="0"/>
    <n v="13.1"/>
    <n v="1"/>
  </r>
  <r>
    <x v="118"/>
    <s v="Regular"/>
    <n v="708163115608"/>
    <x v="9"/>
    <n v="2"/>
    <n v="18.86"/>
    <n v="0"/>
    <n v="0"/>
    <n v="-3.57"/>
    <n v="15.29"/>
    <n v="1.54"/>
    <n v="16.829999999999998"/>
    <n v="2"/>
  </r>
  <r>
    <x v="119"/>
    <s v="Regular"/>
    <n v="708163192739"/>
    <x v="9"/>
    <n v="1"/>
    <n v="8.27"/>
    <n v="0"/>
    <n v="0"/>
    <n v="0"/>
    <n v="8.27"/>
    <n v="0.83"/>
    <n v="9.1"/>
    <n v="1"/>
  </r>
  <r>
    <x v="120"/>
    <s v="Regular"/>
    <n v="708163192715"/>
    <x v="9"/>
    <n v="5"/>
    <n v="46.4"/>
    <n v="0"/>
    <n v="0"/>
    <n v="-0.92"/>
    <n v="45.48"/>
    <n v="4.5999999999999996"/>
    <n v="50.08"/>
    <n v="5"/>
  </r>
  <r>
    <x v="121"/>
    <s v="Regular"/>
    <n v="735204341672"/>
    <x v="9"/>
    <n v="3"/>
    <n v="37.58"/>
    <n v="0"/>
    <n v="0"/>
    <n v="-1.23"/>
    <n v="36.35"/>
    <n v="3.67"/>
    <n v="40.020000000000003"/>
    <n v="3"/>
  </r>
  <r>
    <x v="122"/>
    <s v="Regular"/>
    <n v="735204341658"/>
    <x v="9"/>
    <n v="1"/>
    <n v="10.17"/>
    <n v="0"/>
    <n v="0"/>
    <n v="0"/>
    <n v="10.17"/>
    <n v="1.03"/>
    <n v="11.2"/>
    <n v="1"/>
  </r>
  <r>
    <x v="123"/>
    <s v="Regular"/>
    <n v="856823004752"/>
    <x v="9"/>
    <n v="1"/>
    <n v="9.26"/>
    <n v="0"/>
    <n v="0"/>
    <n v="0"/>
    <n v="9.26"/>
    <n v="0.94"/>
    <n v="10.199999999999999"/>
    <n v="1"/>
  </r>
  <r>
    <x v="124"/>
    <s v="Regular"/>
    <n v="856823004745"/>
    <x v="9"/>
    <n v="3"/>
    <n v="27.87"/>
    <n v="0"/>
    <n v="0"/>
    <n v="-0.98"/>
    <n v="26.89"/>
    <n v="2.73"/>
    <n v="29.62"/>
    <n v="3"/>
  </r>
  <r>
    <x v="125"/>
    <s v="Regular"/>
    <n v="850052699093"/>
    <x v="9"/>
    <n v="1"/>
    <n v="9.26"/>
    <n v="0"/>
    <n v="0"/>
    <n v="0"/>
    <n v="9.26"/>
    <n v="0.94"/>
    <n v="10.199999999999999"/>
    <n v="1"/>
  </r>
  <r>
    <x v="126"/>
    <s v="Regular"/>
    <n v="9349227000334"/>
    <x v="9"/>
    <n v="3"/>
    <n v="28.74"/>
    <n v="0"/>
    <n v="0"/>
    <n v="0"/>
    <n v="28.74"/>
    <n v="2.91"/>
    <n v="31.65"/>
    <n v="3"/>
  </r>
  <r>
    <x v="127"/>
    <s v="Regular"/>
    <n v="9349227000105"/>
    <x v="9"/>
    <n v="1"/>
    <n v="9.58"/>
    <n v="0"/>
    <n v="0"/>
    <n v="0"/>
    <n v="9.58"/>
    <n v="0.97"/>
    <n v="10.55"/>
    <n v="1"/>
  </r>
  <r>
    <x v="128"/>
    <s v="Regular"/>
    <n v="9421905498890"/>
    <x v="9"/>
    <n v="1"/>
    <n v="7.58"/>
    <n v="0"/>
    <n v="0"/>
    <n v="0"/>
    <n v="7.58"/>
    <n v="0.77"/>
    <n v="8.35"/>
    <n v="1"/>
  </r>
  <r>
    <x v="129"/>
    <s v="Regular"/>
    <n v="9421905498838"/>
    <x v="9"/>
    <n v="1"/>
    <n v="7.58"/>
    <n v="0"/>
    <n v="0"/>
    <n v="0"/>
    <n v="7.58"/>
    <n v="0.77"/>
    <n v="8.35"/>
    <n v="1"/>
  </r>
  <r>
    <x v="130"/>
    <s v="Regular"/>
    <n v="9421903677198"/>
    <x v="9"/>
    <n v="2"/>
    <n v="17.61"/>
    <n v="0"/>
    <n v="0"/>
    <n v="-0.88"/>
    <n v="16.73"/>
    <n v="1.69"/>
    <n v="18.420000000000002"/>
    <n v="2"/>
  </r>
  <r>
    <x v="131"/>
    <s v="Regular"/>
    <n v="9421903677839"/>
    <x v="9"/>
    <n v="2"/>
    <n v="8.26"/>
    <n v="0"/>
    <n v="0"/>
    <n v="0"/>
    <n v="8.26"/>
    <n v="0.84"/>
    <n v="9.1"/>
    <n v="2"/>
  </r>
  <r>
    <x v="132"/>
    <s v="Regular"/>
    <n v="9421903677181"/>
    <x v="9"/>
    <n v="3"/>
    <n v="2.73"/>
    <n v="0"/>
    <n v="0"/>
    <n v="0"/>
    <n v="2.73"/>
    <n v="0.27"/>
    <n v="3"/>
    <n v="3"/>
  </r>
  <r>
    <x v="133"/>
    <s v="Regular"/>
    <n v="9421903677259"/>
    <x v="9"/>
    <n v="1"/>
    <n v="0.91"/>
    <n v="0"/>
    <n v="0"/>
    <n v="0"/>
    <n v="0.91"/>
    <n v="0.09"/>
    <n v="1"/>
    <n v="1"/>
  </r>
  <r>
    <x v="134"/>
    <s v="Regular"/>
    <n v="9369998522989"/>
    <x v="9"/>
    <n v="7"/>
    <n v="75.989999999999995"/>
    <n v="0"/>
    <n v="0"/>
    <n v="-0.31"/>
    <n v="75.680000000000007"/>
    <n v="7.66"/>
    <n v="83.34"/>
    <n v="7"/>
  </r>
  <r>
    <x v="135"/>
    <s v="Regular"/>
    <n v="9369900056557"/>
    <x v="9"/>
    <n v="6"/>
    <n v="65.11"/>
    <n v="0"/>
    <n v="0"/>
    <n v="0"/>
    <n v="65.11"/>
    <n v="6.59"/>
    <n v="71.7"/>
    <n v="6"/>
  </r>
  <r>
    <x v="136"/>
    <s v="Regular"/>
    <n v="9345911000024"/>
    <x v="10"/>
    <n v="2"/>
    <n v="16.079999999999998"/>
    <n v="0"/>
    <n v="0"/>
    <n v="0"/>
    <n v="16.079999999999998"/>
    <n v="1.62"/>
    <n v="17.7"/>
    <n v="2"/>
  </r>
  <r>
    <x v="137"/>
    <s v="Regular"/>
    <n v="9345911000314"/>
    <x v="10"/>
    <n v="1"/>
    <n v="8.0399999999999991"/>
    <n v="0"/>
    <n v="0"/>
    <n v="0"/>
    <n v="8.0399999999999991"/>
    <n v="0.81"/>
    <n v="8.85"/>
    <n v="1"/>
  </r>
  <r>
    <x v="138"/>
    <s v="Regular"/>
    <n v="9345911000574"/>
    <x v="10"/>
    <n v="3"/>
    <n v="24.14"/>
    <n v="0"/>
    <n v="0"/>
    <n v="0"/>
    <n v="24.14"/>
    <n v="2.41"/>
    <n v="26.55"/>
    <n v="3"/>
  </r>
  <r>
    <x v="139"/>
    <s v="Regular"/>
    <n v="9345911000277"/>
    <x v="10"/>
    <n v="1"/>
    <n v="8.0299999999999994"/>
    <n v="0"/>
    <n v="0"/>
    <n v="0"/>
    <n v="8.0299999999999994"/>
    <n v="0.82"/>
    <n v="8.85"/>
    <n v="1"/>
  </r>
  <r>
    <x v="140"/>
    <s v="Regular"/>
    <n v="9345911000475"/>
    <x v="10"/>
    <n v="5"/>
    <n v="40.26"/>
    <n v="0"/>
    <n v="0"/>
    <n v="-0.8"/>
    <n v="39.46"/>
    <n v="3.99"/>
    <n v="43.45"/>
    <n v="5"/>
  </r>
  <r>
    <x v="141"/>
    <s v="Regular"/>
    <n v="9345911000680"/>
    <x v="10"/>
    <n v="3"/>
    <n v="24.12"/>
    <n v="0"/>
    <n v="0"/>
    <n v="0"/>
    <n v="24.12"/>
    <n v="2.4300000000000002"/>
    <n v="26.55"/>
    <n v="3"/>
  </r>
  <r>
    <x v="142"/>
    <s v="Regular"/>
    <n v="9345911000284"/>
    <x v="10"/>
    <n v="2"/>
    <n v="16.12"/>
    <n v="0"/>
    <n v="0"/>
    <n v="-0.5"/>
    <n v="15.62"/>
    <n v="1.58"/>
    <n v="17.2"/>
    <n v="2"/>
  </r>
  <r>
    <x v="143"/>
    <s v="Regular"/>
    <n v="680569529442"/>
    <x v="10"/>
    <n v="2"/>
    <n v="3.46"/>
    <n v="0"/>
    <n v="0"/>
    <n v="0"/>
    <n v="3.46"/>
    <n v="0.34"/>
    <n v="3.8"/>
    <n v="2"/>
  </r>
  <r>
    <x v="144"/>
    <s v="Regular"/>
    <n v="680569565006"/>
    <x v="10"/>
    <n v="4"/>
    <n v="6.9"/>
    <n v="0"/>
    <n v="0"/>
    <n v="0"/>
    <n v="6.9"/>
    <n v="0.7"/>
    <n v="7.6"/>
    <n v="4"/>
  </r>
  <r>
    <x v="145"/>
    <s v="Regular"/>
    <n v="9354396000092"/>
    <x v="10"/>
    <n v="8"/>
    <n v="16.72"/>
    <n v="0"/>
    <n v="0"/>
    <n v="0"/>
    <n v="16.72"/>
    <n v="1.68"/>
    <n v="18.399999999999999"/>
    <n v="8"/>
  </r>
  <r>
    <x v="146"/>
    <s v="Regular"/>
    <n v="9421903370631"/>
    <x v="10"/>
    <n v="2"/>
    <n v="18.53"/>
    <n v="0"/>
    <n v="0"/>
    <n v="-2.02"/>
    <n v="16.510000000000002"/>
    <n v="1.67"/>
    <n v="18.18"/>
    <n v="2"/>
  </r>
  <r>
    <x v="147"/>
    <s v="Regular"/>
    <n v="9421903370655"/>
    <x v="10"/>
    <n v="1"/>
    <n v="9.17"/>
    <n v="0"/>
    <n v="0"/>
    <n v="0"/>
    <n v="9.17"/>
    <n v="0.93"/>
    <n v="10.1"/>
    <n v="1"/>
  </r>
  <r>
    <x v="148"/>
    <s v="Regular"/>
    <n v="9421903370648"/>
    <x v="10"/>
    <n v="2"/>
    <n v="18.34"/>
    <n v="0"/>
    <n v="0"/>
    <n v="0"/>
    <n v="18.34"/>
    <n v="1.86"/>
    <n v="20.2"/>
    <n v="2"/>
  </r>
  <r>
    <x v="149"/>
    <s v="Regular"/>
    <n v="9354396000016"/>
    <x v="10"/>
    <n v="1"/>
    <n v="8.81"/>
    <n v="0"/>
    <n v="0"/>
    <n v="0"/>
    <n v="8.81"/>
    <n v="0.89"/>
    <n v="9.6999999999999993"/>
    <n v="1"/>
  </r>
  <r>
    <x v="150"/>
    <s v="Regular"/>
    <n v="9354396000108"/>
    <x v="10"/>
    <n v="1"/>
    <n v="11.8"/>
    <n v="0"/>
    <n v="0"/>
    <n v="0"/>
    <n v="11.8"/>
    <n v="1.2"/>
    <n v="13"/>
    <n v="1"/>
  </r>
  <r>
    <x v="151"/>
    <s v="Regular"/>
    <n v="9354396000115"/>
    <x v="10"/>
    <n v="1"/>
    <n v="11.81"/>
    <n v="0"/>
    <n v="0"/>
    <n v="0"/>
    <n v="11.81"/>
    <n v="1.19"/>
    <n v="13"/>
    <n v="1"/>
  </r>
  <r>
    <x v="152"/>
    <s v="Regular"/>
    <n v="793579748984"/>
    <x v="10"/>
    <n v="2"/>
    <n v="28.42"/>
    <n v="0"/>
    <n v="0"/>
    <n v="0"/>
    <n v="28.42"/>
    <n v="2.88"/>
    <n v="31.3"/>
    <n v="2"/>
  </r>
  <r>
    <x v="153"/>
    <s v="Regular"/>
    <n v="9357490000883"/>
    <x v="10"/>
    <n v="4"/>
    <n v="109.17"/>
    <n v="0"/>
    <n v="0"/>
    <n v="-4.0599999999999996"/>
    <n v="105.11"/>
    <n v="10.63"/>
    <n v="115.74"/>
    <n v="4"/>
  </r>
  <r>
    <x v="154"/>
    <s v="Regular"/>
    <n v="9357490000876"/>
    <x v="10"/>
    <n v="7"/>
    <n v="190.4"/>
    <n v="0"/>
    <n v="0"/>
    <n v="0"/>
    <n v="190.4"/>
    <n v="19.25"/>
    <n v="209.65"/>
    <n v="7"/>
  </r>
  <r>
    <x v="155"/>
    <s v="Regular"/>
    <n v="9357490000869"/>
    <x v="10"/>
    <n v="6"/>
    <n v="163.22999999999999"/>
    <n v="0"/>
    <n v="0"/>
    <n v="0"/>
    <n v="163.22999999999999"/>
    <n v="16.47"/>
    <n v="179.7"/>
    <n v="6"/>
  </r>
  <r>
    <x v="156"/>
    <s v="Regular"/>
    <n v="9357490000890"/>
    <x v="10"/>
    <n v="3"/>
    <n v="81.599999999999994"/>
    <n v="0"/>
    <n v="0"/>
    <n v="0"/>
    <n v="81.599999999999994"/>
    <n v="8.25"/>
    <n v="89.85"/>
    <n v="3"/>
  </r>
  <r>
    <x v="157"/>
    <s v="Regular"/>
    <n v="9357490000098"/>
    <x v="10"/>
    <n v="4"/>
    <n v="25.25"/>
    <n v="0"/>
    <n v="0"/>
    <n v="0"/>
    <n v="25.25"/>
    <n v="2.5499999999999998"/>
    <n v="27.8"/>
    <n v="4"/>
  </r>
  <r>
    <x v="158"/>
    <s v="Regular"/>
    <n v="9357490000043"/>
    <x v="10"/>
    <n v="7"/>
    <n v="44.22"/>
    <n v="0"/>
    <n v="0"/>
    <n v="-0.52"/>
    <n v="43.7"/>
    <n v="4.43"/>
    <n v="48.13"/>
    <n v="7"/>
  </r>
  <r>
    <x v="159"/>
    <s v="Regular"/>
    <n v="9357490000425"/>
    <x v="10"/>
    <n v="5"/>
    <n v="31.68"/>
    <n v="0"/>
    <n v="0"/>
    <n v="-1.39"/>
    <n v="30.29"/>
    <n v="3.07"/>
    <n v="33.36"/>
    <n v="5"/>
  </r>
  <r>
    <x v="160"/>
    <s v="Regular"/>
    <n v="9357490000135"/>
    <x v="10"/>
    <n v="4"/>
    <n v="25.46"/>
    <n v="0"/>
    <n v="0"/>
    <n v="-2.33"/>
    <n v="23.13"/>
    <n v="2.34"/>
    <n v="25.47"/>
    <n v="4"/>
  </r>
  <r>
    <x v="161"/>
    <s v="Regular"/>
    <n v="9357490000272"/>
    <x v="10"/>
    <n v="3"/>
    <n v="59.8"/>
    <n v="0"/>
    <n v="0"/>
    <n v="0"/>
    <n v="59.8"/>
    <n v="6.05"/>
    <n v="65.849999999999994"/>
    <n v="3"/>
  </r>
  <r>
    <x v="162"/>
    <s v="Regular"/>
    <n v="9357490000081"/>
    <x v="10"/>
    <n v="4"/>
    <n v="25.24"/>
    <n v="0"/>
    <n v="0"/>
    <n v="0"/>
    <n v="25.24"/>
    <n v="2.56"/>
    <n v="27.8"/>
    <n v="4"/>
  </r>
  <r>
    <x v="163"/>
    <s v="Regular"/>
    <n v="9357490000067"/>
    <x v="10"/>
    <n v="4"/>
    <n v="25.24"/>
    <n v="0"/>
    <n v="0"/>
    <n v="0"/>
    <n v="25.24"/>
    <n v="2.56"/>
    <n v="27.8"/>
    <n v="4"/>
  </r>
  <r>
    <x v="164"/>
    <s v="Regular"/>
    <n v="9357490000289"/>
    <x v="10"/>
    <n v="2"/>
    <n v="39.869999999999997"/>
    <n v="0"/>
    <n v="0"/>
    <n v="0"/>
    <n v="39.869999999999997"/>
    <n v="4.03"/>
    <n v="43.9"/>
    <n v="2"/>
  </r>
  <r>
    <x v="165"/>
    <s v="Regular"/>
    <n v="9357490000715"/>
    <x v="10"/>
    <n v="2"/>
    <n v="12.62"/>
    <n v="0"/>
    <n v="0"/>
    <n v="0"/>
    <n v="12.62"/>
    <n v="1.28"/>
    <n v="13.9"/>
    <n v="2"/>
  </r>
  <r>
    <x v="166"/>
    <s v="Regular"/>
    <n v="9357490000050"/>
    <x v="10"/>
    <n v="10"/>
    <n v="63.82"/>
    <n v="0"/>
    <n v="0"/>
    <n v="-7.78"/>
    <n v="56.04"/>
    <n v="5.68"/>
    <n v="61.72"/>
    <n v="10"/>
  </r>
  <r>
    <x v="167"/>
    <s v="Regular"/>
    <n v="9357490000227"/>
    <x v="10"/>
    <n v="6"/>
    <n v="76.02"/>
    <n v="0"/>
    <n v="0"/>
    <n v="0"/>
    <n v="76.02"/>
    <n v="7.68"/>
    <n v="83.7"/>
    <n v="6"/>
  </r>
  <r>
    <x v="168"/>
    <s v="Regular"/>
    <n v="9357490000203"/>
    <x v="10"/>
    <n v="2"/>
    <n v="25.34"/>
    <n v="0"/>
    <n v="0"/>
    <n v="0"/>
    <n v="25.34"/>
    <n v="2.56"/>
    <n v="27.9"/>
    <n v="2"/>
  </r>
  <r>
    <x v="169"/>
    <s v="Regular"/>
    <n v="9357490000159"/>
    <x v="10"/>
    <n v="5"/>
    <n v="63.42"/>
    <n v="0"/>
    <n v="0"/>
    <n v="-0.76"/>
    <n v="62.66"/>
    <n v="6.33"/>
    <n v="68.989999999999995"/>
    <n v="5"/>
  </r>
  <r>
    <x v="170"/>
    <s v="Regular"/>
    <n v="9357490000432"/>
    <x v="10"/>
    <n v="13"/>
    <n v="165.03"/>
    <n v="0"/>
    <n v="0"/>
    <n v="-3.43"/>
    <n v="161.6"/>
    <n v="16.32"/>
    <n v="177.92"/>
    <n v="13"/>
  </r>
  <r>
    <x v="171"/>
    <s v="Regular"/>
    <n v="9357490000241"/>
    <x v="10"/>
    <n v="7"/>
    <n v="88.69"/>
    <n v="0"/>
    <n v="0"/>
    <n v="0"/>
    <n v="88.69"/>
    <n v="8.9600000000000009"/>
    <n v="97.65"/>
    <n v="7"/>
  </r>
  <r>
    <x v="172"/>
    <s v="Regular"/>
    <n v="9357490000197"/>
    <x v="10"/>
    <n v="5"/>
    <n v="63.36"/>
    <n v="0"/>
    <n v="0"/>
    <n v="0"/>
    <n v="63.36"/>
    <n v="6.39"/>
    <n v="69.75"/>
    <n v="5"/>
  </r>
  <r>
    <x v="173"/>
    <s v="Regular"/>
    <n v="9357490000173"/>
    <x v="10"/>
    <n v="4"/>
    <n v="50.68"/>
    <n v="0"/>
    <n v="0"/>
    <n v="0"/>
    <n v="50.68"/>
    <n v="5.12"/>
    <n v="55.8"/>
    <n v="4"/>
  </r>
  <r>
    <x v="174"/>
    <s v="Regular"/>
    <n v="9357490000722"/>
    <x v="10"/>
    <n v="5"/>
    <n v="63.61"/>
    <n v="0"/>
    <n v="0"/>
    <n v="-2.8"/>
    <n v="60.81"/>
    <n v="6.14"/>
    <n v="66.95"/>
    <n v="5"/>
  </r>
  <r>
    <x v="175"/>
    <s v="Regular"/>
    <n v="9357490000166"/>
    <x v="10"/>
    <n v="9"/>
    <n v="114.6"/>
    <n v="0"/>
    <n v="0"/>
    <n v="-6.2"/>
    <n v="108.4"/>
    <n v="10.95"/>
    <n v="119.35"/>
    <n v="9"/>
  </r>
  <r>
    <x v="176"/>
    <s v="Regular"/>
    <n v="9357490000180"/>
    <x v="10"/>
    <n v="2"/>
    <n v="25.35"/>
    <n v="0"/>
    <n v="0"/>
    <n v="0"/>
    <n v="25.35"/>
    <n v="2.5499999999999998"/>
    <n v="27.9"/>
    <n v="2"/>
  </r>
  <r>
    <x v="177"/>
    <s v="Regular"/>
    <n v="9357490000074"/>
    <x v="10"/>
    <n v="2"/>
    <n v="12.62"/>
    <n v="0"/>
    <n v="0"/>
    <n v="0"/>
    <n v="12.62"/>
    <n v="1.28"/>
    <n v="13.9"/>
    <n v="2"/>
  </r>
  <r>
    <x v="178"/>
    <s v="Regular"/>
    <n v="743966127687"/>
    <x v="10"/>
    <n v="1"/>
    <n v="12.75"/>
    <n v="0"/>
    <n v="0"/>
    <n v="0"/>
    <n v="12.75"/>
    <n v="0"/>
    <n v="12.75"/>
    <n v="1"/>
  </r>
  <r>
    <x v="179"/>
    <s v="Regular"/>
    <n v="9346659003346"/>
    <x v="10"/>
    <n v="2"/>
    <n v="27.16"/>
    <n v="0"/>
    <n v="0"/>
    <n v="0"/>
    <n v="27.16"/>
    <n v="2.74"/>
    <n v="29.9"/>
    <n v="2"/>
  </r>
  <r>
    <x v="180"/>
    <s v="Regular"/>
    <n v="9346659002516"/>
    <x v="10"/>
    <n v="1"/>
    <n v="16.07"/>
    <n v="0"/>
    <n v="0"/>
    <n v="-7.38"/>
    <n v="8.69"/>
    <n v="0.88"/>
    <n v="9.57"/>
    <n v="1"/>
  </r>
  <r>
    <x v="181"/>
    <s v="Regular"/>
    <n v="9338415000263"/>
    <x v="10"/>
    <n v="4"/>
    <n v="71.92"/>
    <n v="0"/>
    <n v="0"/>
    <n v="0"/>
    <n v="71.92"/>
    <n v="7.28"/>
    <n v="79.2"/>
    <n v="4"/>
  </r>
  <r>
    <x v="182"/>
    <s v="Regular"/>
    <n v="9338415000287"/>
    <x v="10"/>
    <n v="3"/>
    <n v="51.49"/>
    <n v="0"/>
    <n v="0"/>
    <n v="0"/>
    <n v="51.49"/>
    <n v="5.21"/>
    <n v="56.7"/>
    <n v="3"/>
  </r>
  <r>
    <x v="183"/>
    <s v="Regular"/>
    <n v="9338415000003"/>
    <x v="10"/>
    <n v="1"/>
    <n v="17.98"/>
    <n v="0"/>
    <n v="0"/>
    <n v="0"/>
    <n v="17.98"/>
    <n v="1.82"/>
    <n v="19.8"/>
    <n v="1"/>
  </r>
  <r>
    <x v="184"/>
    <s v="Regular"/>
    <n v="8720701144859"/>
    <x v="10"/>
    <n v="1"/>
    <n v="13.26"/>
    <n v="0"/>
    <n v="0"/>
    <n v="0"/>
    <n v="13.26"/>
    <n v="1.34"/>
    <n v="14.6"/>
    <n v="1"/>
  </r>
  <r>
    <x v="185"/>
    <s v="Regular"/>
    <n v="858010005108"/>
    <x v="10"/>
    <n v="3"/>
    <n v="12.53"/>
    <n v="0"/>
    <n v="0"/>
    <n v="0"/>
    <n v="12.53"/>
    <n v="1.27"/>
    <n v="13.8"/>
    <n v="3"/>
  </r>
  <r>
    <x v="186"/>
    <s v="Regular"/>
    <n v="5901154045181"/>
    <x v="11"/>
    <n v="1"/>
    <n v="12.25"/>
    <n v="0"/>
    <n v="0"/>
    <n v="0"/>
    <n v="12.25"/>
    <n v="0"/>
    <n v="12.25"/>
    <n v="1"/>
  </r>
  <r>
    <x v="187"/>
    <s v="Regular"/>
    <n v="9323752005200"/>
    <x v="11"/>
    <n v="2"/>
    <n v="34"/>
    <n v="0"/>
    <n v="0"/>
    <n v="0"/>
    <n v="34"/>
    <n v="0"/>
    <n v="34"/>
    <n v="2"/>
  </r>
  <r>
    <x v="188"/>
    <s v="Regular"/>
    <n v="9316774170001"/>
    <x v="11"/>
    <n v="1"/>
    <n v="11.75"/>
    <n v="0"/>
    <n v="0"/>
    <n v="0"/>
    <n v="11.75"/>
    <n v="0"/>
    <n v="11.75"/>
    <n v="1"/>
  </r>
  <r>
    <x v="189"/>
    <s v="Regular"/>
    <n v="9356170000434"/>
    <x v="11"/>
    <n v="2"/>
    <n v="5"/>
    <n v="0"/>
    <n v="0"/>
    <n v="0"/>
    <n v="5"/>
    <n v="0"/>
    <n v="5"/>
    <n v="2"/>
  </r>
  <r>
    <x v="190"/>
    <s v="Regular"/>
    <n v="9356170000427"/>
    <x v="11"/>
    <n v="3"/>
    <n v="6.81"/>
    <n v="0"/>
    <n v="0"/>
    <n v="0"/>
    <n v="6.81"/>
    <n v="0.69"/>
    <n v="7.5"/>
    <n v="3"/>
  </r>
  <r>
    <x v="191"/>
    <s v="Regular"/>
    <n v="9356170001684"/>
    <x v="11"/>
    <n v="12"/>
    <n v="27.24"/>
    <n v="0"/>
    <n v="0"/>
    <n v="0"/>
    <n v="27.24"/>
    <n v="2.76"/>
    <n v="30"/>
    <n v="12"/>
  </r>
  <r>
    <x v="192"/>
    <s v="Regular"/>
    <n v="9421907983066"/>
    <x v="11"/>
    <n v="1"/>
    <n v="27.74"/>
    <n v="0"/>
    <n v="0"/>
    <n v="0"/>
    <n v="27.74"/>
    <n v="2.81"/>
    <n v="30.55"/>
    <n v="1"/>
  </r>
  <r>
    <x v="193"/>
    <s v="Regular"/>
    <n v="9415531111070"/>
    <x v="11"/>
    <n v="1"/>
    <n v="24.75"/>
    <n v="0"/>
    <n v="0"/>
    <n v="-4.96"/>
    <n v="19.79"/>
    <n v="0"/>
    <n v="19.79"/>
    <n v="1"/>
  </r>
  <r>
    <x v="194"/>
    <s v="Regular"/>
    <n v="3258831001018"/>
    <x v="12"/>
    <n v="3"/>
    <n v="29.4"/>
    <n v="0"/>
    <n v="0"/>
    <n v="-1.29"/>
    <n v="28.11"/>
    <n v="0"/>
    <n v="28.11"/>
    <n v="3"/>
  </r>
  <r>
    <x v="195"/>
    <s v="Regular"/>
    <n v="9309000986002"/>
    <x v="12"/>
    <n v="1"/>
    <n v="12.1"/>
    <n v="0"/>
    <n v="0"/>
    <n v="0"/>
    <n v="12.1"/>
    <n v="0"/>
    <n v="12.1"/>
    <n v="1"/>
  </r>
  <r>
    <x v="196"/>
    <s v="Regular"/>
    <n v="9312336791073"/>
    <x v="12"/>
    <n v="2"/>
    <n v="12.7"/>
    <n v="0"/>
    <n v="0"/>
    <n v="0"/>
    <n v="12.7"/>
    <n v="0"/>
    <n v="12.7"/>
    <n v="2"/>
  </r>
  <r>
    <x v="197"/>
    <s v="Regular"/>
    <n v="9312336763018"/>
    <x v="12"/>
    <n v="1"/>
    <n v="7.15"/>
    <n v="0"/>
    <n v="0"/>
    <n v="0"/>
    <n v="7.15"/>
    <n v="0"/>
    <n v="7.15"/>
    <n v="1"/>
  </r>
  <r>
    <x v="198"/>
    <s v="Regular"/>
    <n v="784927404133"/>
    <x v="12"/>
    <n v="1"/>
    <n v="15.95"/>
    <n v="0"/>
    <n v="0"/>
    <n v="0"/>
    <n v="15.95"/>
    <n v="0"/>
    <n v="15.95"/>
    <n v="1"/>
  </r>
  <r>
    <x v="199"/>
    <s v="Regular"/>
    <n v="784927404072"/>
    <x v="12"/>
    <n v="2"/>
    <n v="33.4"/>
    <n v="0"/>
    <n v="0"/>
    <n v="-0.41"/>
    <n v="32.99"/>
    <n v="0"/>
    <n v="32.99"/>
    <n v="2"/>
  </r>
  <r>
    <x v="200"/>
    <s v="Regular"/>
    <n v="784927404089"/>
    <x v="12"/>
    <n v="1"/>
    <n v="9.9499999999999993"/>
    <n v="0"/>
    <n v="0"/>
    <n v="0"/>
    <n v="9.9499999999999993"/>
    <n v="0"/>
    <n v="9.9499999999999993"/>
    <n v="1"/>
  </r>
  <r>
    <x v="201"/>
    <s v="Regular"/>
    <n v="9352930000324"/>
    <x v="13"/>
    <n v="1"/>
    <n v="10.91"/>
    <n v="0"/>
    <n v="0"/>
    <n v="0"/>
    <n v="10.91"/>
    <n v="1.0900000000000001"/>
    <n v="12"/>
    <n v="1"/>
  </r>
  <r>
    <x v="202"/>
    <s v="Regular"/>
    <n v="9352930000317"/>
    <x v="13"/>
    <n v="1"/>
    <n v="10.9"/>
    <n v="0"/>
    <n v="0"/>
    <n v="0"/>
    <n v="10.9"/>
    <n v="1.1000000000000001"/>
    <n v="12"/>
    <n v="1"/>
  </r>
  <r>
    <x v="203"/>
    <s v="Regular"/>
    <n v="9421904624238"/>
    <x v="13"/>
    <n v="1"/>
    <n v="8.9499999999999993"/>
    <n v="0"/>
    <n v="0"/>
    <n v="0"/>
    <n v="8.9499999999999993"/>
    <n v="0.9"/>
    <n v="9.85"/>
    <n v="1"/>
  </r>
  <r>
    <x v="204"/>
    <s v="Regular"/>
    <n v="9347852001573"/>
    <x v="13"/>
    <n v="1"/>
    <n v="3.04"/>
    <n v="0"/>
    <n v="0"/>
    <n v="0"/>
    <n v="3.04"/>
    <n v="0.31"/>
    <n v="3.35"/>
    <n v="1"/>
  </r>
  <r>
    <x v="205"/>
    <s v="Regular"/>
    <n v="9415748004554"/>
    <x v="14"/>
    <n v="4"/>
    <n v="17.399999999999999"/>
    <n v="0"/>
    <n v="0"/>
    <n v="-0.82"/>
    <n v="16.579999999999998"/>
    <n v="0"/>
    <n v="16.579999999999998"/>
    <n v="4"/>
  </r>
  <r>
    <x v="206"/>
    <s v="Regular"/>
    <n v="9415748004622"/>
    <x v="14"/>
    <n v="2"/>
    <n v="8.1999999999999993"/>
    <n v="0"/>
    <n v="0"/>
    <n v="-0.28000000000000003"/>
    <n v="7.92"/>
    <n v="0.8"/>
    <n v="8.7200000000000006"/>
    <n v="2"/>
  </r>
  <r>
    <x v="207"/>
    <s v="Regular"/>
    <n v="9415748005100"/>
    <x v="14"/>
    <n v="2"/>
    <n v="8.6999999999999993"/>
    <n v="0"/>
    <n v="0"/>
    <n v="0"/>
    <n v="8.6999999999999993"/>
    <n v="0"/>
    <n v="8.6999999999999993"/>
    <n v="2"/>
  </r>
  <r>
    <x v="208"/>
    <s v="Regular"/>
    <n v="9415748010630"/>
    <x v="14"/>
    <n v="3"/>
    <n v="12.29"/>
    <n v="0"/>
    <n v="0"/>
    <n v="-0.24"/>
    <n v="12.05"/>
    <n v="1.21"/>
    <n v="13.26"/>
    <n v="3"/>
  </r>
  <r>
    <x v="209"/>
    <s v="Regular"/>
    <n v="9415748005117"/>
    <x v="14"/>
    <n v="1"/>
    <n v="4.3499999999999996"/>
    <n v="0"/>
    <n v="0"/>
    <n v="0"/>
    <n v="4.3499999999999996"/>
    <n v="0"/>
    <n v="4.3499999999999996"/>
    <n v="1"/>
  </r>
  <r>
    <x v="210"/>
    <s v="Regular"/>
    <n v="9369998121564"/>
    <x v="14"/>
    <n v="2"/>
    <n v="16.62"/>
    <n v="0"/>
    <n v="0"/>
    <n v="0"/>
    <n v="16.62"/>
    <n v="1.68"/>
    <n v="18.3"/>
    <n v="2"/>
  </r>
  <r>
    <x v="211"/>
    <s v="Regular"/>
    <n v="9357335000016"/>
    <x v="14"/>
    <n v="1"/>
    <n v="8.31"/>
    <n v="0"/>
    <n v="0"/>
    <n v="0"/>
    <n v="8.31"/>
    <n v="0.84"/>
    <n v="9.15"/>
    <n v="1"/>
  </r>
  <r>
    <x v="212"/>
    <s v="Regular"/>
    <n v="9345062001635"/>
    <x v="14"/>
    <n v="1"/>
    <n v="7.86"/>
    <n v="0"/>
    <n v="0"/>
    <n v="0"/>
    <n v="7.86"/>
    <n v="0.79"/>
    <n v="8.65"/>
    <n v="1"/>
  </r>
  <r>
    <x v="213"/>
    <s v="Regular"/>
    <n v="9345062001642"/>
    <x v="14"/>
    <n v="1"/>
    <n v="7.93"/>
    <n v="0"/>
    <n v="0"/>
    <n v="-0.86"/>
    <n v="7.07"/>
    <n v="0.72"/>
    <n v="7.79"/>
    <n v="1"/>
  </r>
  <r>
    <x v="214"/>
    <s v="Regular"/>
    <n v="9421902189081"/>
    <x v="14"/>
    <n v="1"/>
    <n v="13.67"/>
    <n v="0"/>
    <n v="0"/>
    <n v="0"/>
    <n v="13.67"/>
    <n v="1.38"/>
    <n v="15.05"/>
    <n v="1"/>
  </r>
  <r>
    <x v="215"/>
    <s v="Regular"/>
    <n v="9355644000253"/>
    <x v="14"/>
    <n v="1"/>
    <n v="10.26"/>
    <n v="0"/>
    <n v="0"/>
    <n v="0"/>
    <n v="10.26"/>
    <n v="1.04"/>
    <n v="11.3"/>
    <n v="1"/>
  </r>
  <r>
    <x v="216"/>
    <s v="Regular"/>
    <n v="897580000137"/>
    <x v="14"/>
    <n v="3"/>
    <n v="35.090000000000003"/>
    <n v="0"/>
    <n v="0"/>
    <n v="-11.25"/>
    <n v="23.84"/>
    <n v="2.41"/>
    <n v="26.25"/>
    <n v="3"/>
  </r>
  <r>
    <x v="217"/>
    <s v="Regular"/>
    <n v="897580000106"/>
    <x v="14"/>
    <n v="2"/>
    <n v="22.82"/>
    <n v="0"/>
    <n v="0"/>
    <n v="-1.32"/>
    <n v="21.5"/>
    <n v="2.1800000000000002"/>
    <n v="23.68"/>
    <n v="2"/>
  </r>
  <r>
    <x v="218"/>
    <s v="Regular"/>
    <n v="9351475000318"/>
    <x v="14"/>
    <n v="1"/>
    <n v="13.62"/>
    <n v="0"/>
    <n v="0"/>
    <n v="0"/>
    <n v="13.62"/>
    <n v="1.38"/>
    <n v="15"/>
    <n v="1"/>
  </r>
  <r>
    <x v="219"/>
    <s v="Regular"/>
    <n v="9351475000301"/>
    <x v="14"/>
    <n v="1"/>
    <n v="13.62"/>
    <n v="0"/>
    <n v="0"/>
    <n v="0"/>
    <n v="13.62"/>
    <n v="1.38"/>
    <n v="15"/>
    <n v="1"/>
  </r>
  <r>
    <x v="220"/>
    <s v="Regular"/>
    <n v="9351450004836"/>
    <x v="14"/>
    <n v="1"/>
    <n v="7.22"/>
    <n v="0"/>
    <n v="0"/>
    <n v="0"/>
    <n v="7.22"/>
    <n v="0.73"/>
    <n v="7.95"/>
    <n v="1"/>
  </r>
  <r>
    <x v="221"/>
    <s v="Regular"/>
    <n v="9312231301179"/>
    <x v="14"/>
    <n v="3"/>
    <n v="13.2"/>
    <n v="0"/>
    <n v="0"/>
    <n v="0"/>
    <n v="13.2"/>
    <n v="0"/>
    <n v="13.2"/>
    <n v="3"/>
  </r>
  <r>
    <x v="222"/>
    <s v="Regular"/>
    <n v="9312231301155"/>
    <x v="14"/>
    <n v="3"/>
    <n v="12.6"/>
    <n v="0"/>
    <n v="0"/>
    <n v="0"/>
    <n v="12.6"/>
    <n v="0"/>
    <n v="12.6"/>
    <n v="3"/>
  </r>
  <r>
    <x v="223"/>
    <s v="Regular"/>
    <n v="9312336051962"/>
    <x v="14"/>
    <n v="3"/>
    <n v="15.57"/>
    <n v="0"/>
    <n v="0"/>
    <n v="-0.38"/>
    <n v="15.19"/>
    <n v="1.53"/>
    <n v="16.72"/>
    <n v="3"/>
  </r>
  <r>
    <x v="224"/>
    <s v="Regular"/>
    <n v="9312336051986"/>
    <x v="14"/>
    <n v="5"/>
    <n v="28.6"/>
    <n v="0"/>
    <n v="0"/>
    <n v="0"/>
    <n v="28.6"/>
    <n v="2.9"/>
    <n v="31.5"/>
    <n v="5"/>
  </r>
  <r>
    <x v="225"/>
    <s v="Regular"/>
    <n v="9312336052006"/>
    <x v="14"/>
    <n v="1"/>
    <n v="5.18"/>
    <n v="0"/>
    <n v="0"/>
    <n v="0"/>
    <n v="5.18"/>
    <n v="0.52"/>
    <n v="5.7"/>
    <n v="1"/>
  </r>
  <r>
    <x v="226"/>
    <s v="Regular"/>
    <n v="9332172000856"/>
    <x v="15"/>
    <n v="3"/>
    <n v="45"/>
    <n v="0"/>
    <n v="0"/>
    <n v="-3"/>
    <n v="42"/>
    <n v="0"/>
    <n v="42"/>
    <n v="3"/>
  </r>
  <r>
    <x v="227"/>
    <s v="Regular"/>
    <n v="9332172010190"/>
    <x v="15"/>
    <n v="1"/>
    <n v="15"/>
    <n v="0"/>
    <n v="0"/>
    <n v="-0.95"/>
    <n v="14.05"/>
    <n v="0"/>
    <n v="14.05"/>
    <n v="1"/>
  </r>
  <r>
    <x v="228"/>
    <s v="Regular"/>
    <n v="9332172000511"/>
    <x v="15"/>
    <n v="4"/>
    <n v="48.8"/>
    <n v="0"/>
    <n v="0"/>
    <n v="-1.88"/>
    <n v="46.92"/>
    <n v="0"/>
    <n v="46.92"/>
    <n v="4"/>
  </r>
  <r>
    <x v="229"/>
    <s v="Regular"/>
    <n v="9339371000038"/>
    <x v="15"/>
    <n v="2"/>
    <n v="22.9"/>
    <n v="0"/>
    <n v="0"/>
    <n v="0"/>
    <n v="22.9"/>
    <n v="0"/>
    <n v="22.9"/>
    <n v="2"/>
  </r>
  <r>
    <x v="230"/>
    <s v="Regular"/>
    <n v="9339371002117"/>
    <x v="15"/>
    <n v="2"/>
    <n v="24.4"/>
    <n v="0"/>
    <n v="0"/>
    <n v="0"/>
    <n v="24.4"/>
    <n v="0"/>
    <n v="24.4"/>
    <n v="2"/>
  </r>
  <r>
    <x v="231"/>
    <s v="Regular"/>
    <n v="9347920000019"/>
    <x v="15"/>
    <n v="10"/>
    <n v="81"/>
    <n v="0"/>
    <n v="0"/>
    <n v="-81"/>
    <n v="0"/>
    <n v="0"/>
    <n v="0"/>
    <n v="10"/>
  </r>
  <r>
    <x v="232"/>
    <s v="Regular"/>
    <n v="9347920000033"/>
    <x v="15"/>
    <n v="3"/>
    <n v="24.3"/>
    <n v="0"/>
    <n v="0"/>
    <n v="-16.2"/>
    <n v="8.1"/>
    <n v="0"/>
    <n v="8.1"/>
    <n v="3"/>
  </r>
  <r>
    <x v="233"/>
    <s v="Regular"/>
    <n v="8011661001598"/>
    <x v="15"/>
    <n v="1"/>
    <n v="14.95"/>
    <n v="0"/>
    <n v="0"/>
    <n v="0"/>
    <n v="14.95"/>
    <n v="0"/>
    <n v="14.95"/>
    <n v="1"/>
  </r>
  <r>
    <x v="234"/>
    <s v="Regular"/>
    <n v="9353462000004"/>
    <x v="15"/>
    <n v="1"/>
    <n v="11.4"/>
    <n v="0"/>
    <n v="0"/>
    <n v="0"/>
    <n v="11.4"/>
    <n v="0"/>
    <n v="11.4"/>
    <n v="1"/>
  </r>
  <r>
    <x v="235"/>
    <s v="Regular"/>
    <n v="9317320101500"/>
    <x v="15"/>
    <n v="1"/>
    <n v="9.9"/>
    <n v="0"/>
    <n v="0"/>
    <n v="-0.99"/>
    <n v="8.91"/>
    <n v="0"/>
    <n v="8.91"/>
    <n v="1"/>
  </r>
  <r>
    <x v="236"/>
    <s v="Regular"/>
    <n v="9317320405004"/>
    <x v="15"/>
    <n v="2"/>
    <n v="17.7"/>
    <n v="0"/>
    <n v="0"/>
    <n v="0"/>
    <n v="17.7"/>
    <n v="0"/>
    <n v="17.7"/>
    <n v="2"/>
  </r>
  <r>
    <x v="237"/>
    <s v="Regular"/>
    <n v="9317320100039"/>
    <x v="15"/>
    <n v="2"/>
    <n v="30.7"/>
    <n v="0"/>
    <n v="0"/>
    <n v="-3"/>
    <n v="27.7"/>
    <n v="0"/>
    <n v="27.7"/>
    <n v="2"/>
  </r>
  <r>
    <x v="238"/>
    <s v="Regular"/>
    <n v="9317320305007"/>
    <x v="15"/>
    <n v="2"/>
    <n v="17.7"/>
    <n v="0"/>
    <n v="0"/>
    <n v="0"/>
    <n v="17.7"/>
    <n v="0"/>
    <n v="17.7"/>
    <n v="2"/>
  </r>
  <r>
    <x v="239"/>
    <s v="Regular"/>
    <n v="9317320203754"/>
    <x v="15"/>
    <n v="4"/>
    <n v="35.4"/>
    <n v="0"/>
    <n v="0"/>
    <n v="-4.28"/>
    <n v="31.12"/>
    <n v="0"/>
    <n v="31.12"/>
    <n v="4"/>
  </r>
  <r>
    <x v="240"/>
    <s v="Regular"/>
    <n v="9328808002950"/>
    <x v="15"/>
    <n v="1"/>
    <n v="18"/>
    <n v="0"/>
    <n v="0"/>
    <n v="-1.8"/>
    <n v="16.2"/>
    <n v="0"/>
    <n v="16.2"/>
    <n v="1"/>
  </r>
  <r>
    <x v="241"/>
    <s v="Regular"/>
    <n v="9328808003544"/>
    <x v="15"/>
    <n v="4"/>
    <n v="41.8"/>
    <n v="0"/>
    <n v="0"/>
    <n v="-1.66"/>
    <n v="40.14"/>
    <n v="0"/>
    <n v="40.14"/>
    <n v="4"/>
  </r>
  <r>
    <x v="242"/>
    <s v="Regular"/>
    <s v="A592312"/>
    <x v="15"/>
    <n v="8"/>
    <n v="119.6"/>
    <n v="0"/>
    <n v="0"/>
    <n v="-0.38"/>
    <n v="119.22"/>
    <n v="0"/>
    <n v="119.22"/>
    <n v="8"/>
  </r>
  <r>
    <x v="243"/>
    <s v="Regular"/>
    <n v="9328808003773"/>
    <x v="15"/>
    <n v="2"/>
    <n v="20.9"/>
    <n v="0"/>
    <n v="0"/>
    <n v="-1.48"/>
    <n v="19.420000000000002"/>
    <n v="0"/>
    <n v="19.420000000000002"/>
    <n v="2"/>
  </r>
  <r>
    <x v="244"/>
    <s v="Regular"/>
    <n v="9328808000093"/>
    <x v="15"/>
    <n v="2"/>
    <n v="29.9"/>
    <n v="0"/>
    <n v="0"/>
    <n v="0"/>
    <n v="29.9"/>
    <n v="0"/>
    <n v="29.9"/>
    <n v="2"/>
  </r>
  <r>
    <x v="245"/>
    <s v="Regular"/>
    <n v="9328808001007"/>
    <x v="15"/>
    <n v="7"/>
    <n v="96.25"/>
    <n v="0"/>
    <n v="0"/>
    <n v="-1.37"/>
    <n v="94.88"/>
    <n v="0"/>
    <n v="94.88"/>
    <n v="7"/>
  </r>
  <r>
    <x v="246"/>
    <s v="Regular"/>
    <n v="9328808003711"/>
    <x v="15"/>
    <n v="2"/>
    <n v="20.9"/>
    <n v="0"/>
    <n v="0"/>
    <n v="-4.18"/>
    <n v="16.72"/>
    <n v="0"/>
    <n v="16.72"/>
    <n v="2"/>
  </r>
  <r>
    <x v="247"/>
    <s v="Regular"/>
    <n v="9328808000055"/>
    <x v="15"/>
    <n v="2"/>
    <n v="18.2"/>
    <n v="0"/>
    <n v="0"/>
    <n v="0"/>
    <n v="18.2"/>
    <n v="0"/>
    <n v="18.2"/>
    <n v="2"/>
  </r>
  <r>
    <x v="248"/>
    <s v="Regular"/>
    <n v="9338415002090"/>
    <x v="15"/>
    <n v="4"/>
    <n v="62.4"/>
    <n v="0"/>
    <n v="0"/>
    <n v="-15.6"/>
    <n v="46.8"/>
    <n v="0"/>
    <n v="46.8"/>
    <n v="4"/>
  </r>
  <r>
    <x v="249"/>
    <s v="Regular"/>
    <n v="9338415002083"/>
    <x v="15"/>
    <n v="1"/>
    <n v="13.35"/>
    <n v="0"/>
    <n v="0"/>
    <n v="0"/>
    <n v="13.35"/>
    <n v="0"/>
    <n v="13.35"/>
    <n v="1"/>
  </r>
  <r>
    <x v="250"/>
    <s v="Regular"/>
    <s v="143890A"/>
    <x v="15"/>
    <n v="1"/>
    <n v="8.4"/>
    <n v="0"/>
    <n v="0"/>
    <n v="0"/>
    <n v="8.4"/>
    <n v="0"/>
    <n v="8.4"/>
    <n v="1"/>
  </r>
  <r>
    <x v="251"/>
    <s v="Regular"/>
    <n v="9345126000123"/>
    <x v="15"/>
    <n v="1"/>
    <n v="23.35"/>
    <n v="0"/>
    <n v="0"/>
    <n v="-23.35"/>
    <n v="0"/>
    <n v="0"/>
    <n v="0"/>
    <n v="1"/>
  </r>
  <r>
    <x v="252"/>
    <s v="Regular"/>
    <n v="80687032501"/>
    <x v="15"/>
    <n v="1"/>
    <n v="24"/>
    <n v="0"/>
    <n v="0"/>
    <n v="-0.57999999999999996"/>
    <n v="23.42"/>
    <n v="0"/>
    <n v="23.42"/>
    <n v="1"/>
  </r>
  <r>
    <x v="253"/>
    <s v="Regular"/>
    <n v="80687033867"/>
    <x v="15"/>
    <n v="1"/>
    <n v="46.7"/>
    <n v="0"/>
    <n v="0"/>
    <n v="0"/>
    <n v="46.7"/>
    <n v="0"/>
    <n v="46.7"/>
    <n v="1"/>
  </r>
  <r>
    <x v="254"/>
    <s v="Regular"/>
    <n v="9339066000169"/>
    <x v="15"/>
    <n v="6"/>
    <n v="31.8"/>
    <n v="0"/>
    <n v="0"/>
    <n v="-2.79"/>
    <n v="29.01"/>
    <n v="0"/>
    <n v="29.01"/>
    <n v="6"/>
  </r>
  <r>
    <x v="255"/>
    <s v="Regular"/>
    <n v="9339066000077"/>
    <x v="15"/>
    <n v="5"/>
    <n v="47.75"/>
    <n v="0"/>
    <n v="0"/>
    <n v="0"/>
    <n v="47.75"/>
    <n v="0"/>
    <n v="47.75"/>
    <n v="5"/>
  </r>
  <r>
    <x v="256"/>
    <s v="Regular"/>
    <n v="9339066000305"/>
    <x v="15"/>
    <n v="3"/>
    <n v="25.2"/>
    <n v="0"/>
    <n v="0"/>
    <n v="-4.2300000000000004"/>
    <n v="20.97"/>
    <n v="0"/>
    <n v="20.97"/>
    <n v="3"/>
  </r>
  <r>
    <x v="257"/>
    <s v="Regular"/>
    <n v="9339066000008"/>
    <x v="15"/>
    <n v="1"/>
    <n v="8.4"/>
    <n v="0"/>
    <n v="0"/>
    <n v="0"/>
    <n v="8.4"/>
    <n v="0"/>
    <n v="8.4"/>
    <n v="1"/>
  </r>
  <r>
    <x v="258"/>
    <s v="Regular"/>
    <n v="9339066000503"/>
    <x v="15"/>
    <n v="2"/>
    <n v="17.899999999999999"/>
    <n v="0"/>
    <n v="0"/>
    <n v="-5"/>
    <n v="12.9"/>
    <n v="0"/>
    <n v="12.9"/>
    <n v="2"/>
  </r>
  <r>
    <x v="259"/>
    <s v="Regular"/>
    <n v="9369998002672"/>
    <x v="15"/>
    <n v="1"/>
    <n v="14.45"/>
    <n v="0"/>
    <n v="0"/>
    <n v="0"/>
    <n v="14.45"/>
    <n v="0"/>
    <n v="14.45"/>
    <n v="1"/>
  </r>
  <r>
    <x v="260"/>
    <s v="Regular"/>
    <n v="9353880000051"/>
    <x v="15"/>
    <n v="1"/>
    <n v="14.45"/>
    <n v="0"/>
    <n v="0"/>
    <n v="-1.45"/>
    <n v="13"/>
    <n v="0"/>
    <n v="13"/>
    <n v="1"/>
  </r>
  <r>
    <x v="261"/>
    <s v="Regular"/>
    <n v="9353880000020"/>
    <x v="15"/>
    <n v="1"/>
    <n v="12.45"/>
    <n v="0"/>
    <n v="0"/>
    <n v="0"/>
    <n v="12.45"/>
    <n v="0"/>
    <n v="12.45"/>
    <n v="1"/>
  </r>
  <r>
    <x v="262"/>
    <s v="Regular"/>
    <n v="9369998211784"/>
    <x v="15"/>
    <n v="1"/>
    <n v="13.55"/>
    <n v="0"/>
    <n v="0"/>
    <n v="-3.3"/>
    <n v="10.25"/>
    <n v="0"/>
    <n v="10.25"/>
    <n v="1"/>
  </r>
  <r>
    <x v="263"/>
    <s v="Regular"/>
    <n v="9353880000006"/>
    <x v="15"/>
    <n v="1"/>
    <n v="11.2"/>
    <n v="0"/>
    <n v="0"/>
    <n v="0"/>
    <n v="11.2"/>
    <n v="0"/>
    <n v="11.2"/>
    <n v="1"/>
  </r>
  <r>
    <x v="264"/>
    <s v="Regular"/>
    <n v="9369998007820"/>
    <x v="15"/>
    <n v="3"/>
    <n v="47.7"/>
    <n v="0"/>
    <n v="0"/>
    <n v="-2.81"/>
    <n v="44.89"/>
    <n v="0"/>
    <n v="44.89"/>
    <n v="3"/>
  </r>
  <r>
    <x v="265"/>
    <s v="Regular"/>
    <n v="9347390000304"/>
    <x v="15"/>
    <n v="1"/>
    <n v="12.55"/>
    <n v="0"/>
    <n v="0"/>
    <n v="0"/>
    <n v="12.55"/>
    <n v="0"/>
    <n v="12.55"/>
    <n v="1"/>
  </r>
  <r>
    <x v="266"/>
    <s v="Regular"/>
    <n v="9339371001530"/>
    <x v="15"/>
    <n v="1"/>
    <n v="16.2"/>
    <n v="0"/>
    <n v="0"/>
    <n v="0"/>
    <n v="16.2"/>
    <n v="0"/>
    <n v="16.2"/>
    <n v="1"/>
  </r>
  <r>
    <x v="267"/>
    <s v="Regular"/>
    <n v="9359392000077"/>
    <x v="16"/>
    <n v="1"/>
    <n v="17"/>
    <n v="0"/>
    <n v="0"/>
    <n v="0"/>
    <n v="17"/>
    <n v="0"/>
    <n v="17"/>
    <n v="1"/>
  </r>
  <r>
    <x v="268"/>
    <s v="Regular"/>
    <n v="9346940003871"/>
    <x v="16"/>
    <n v="2"/>
    <n v="51"/>
    <n v="0"/>
    <n v="0"/>
    <n v="0"/>
    <n v="51"/>
    <n v="0"/>
    <n v="51"/>
    <n v="2"/>
  </r>
  <r>
    <x v="269"/>
    <s v="Regular"/>
    <n v="9351918010140"/>
    <x v="16"/>
    <n v="4"/>
    <n v="50.2"/>
    <n v="0"/>
    <n v="0"/>
    <n v="-1.26"/>
    <n v="48.94"/>
    <n v="0"/>
    <n v="48.94"/>
    <n v="4"/>
  </r>
  <r>
    <x v="270"/>
    <s v="Regular"/>
    <n v="9351918010157"/>
    <x v="16"/>
    <n v="1"/>
    <n v="12.55"/>
    <n v="0"/>
    <n v="0"/>
    <n v="0"/>
    <n v="12.55"/>
    <n v="0"/>
    <n v="12.55"/>
    <n v="1"/>
  </r>
  <r>
    <x v="271"/>
    <s v="Regular"/>
    <n v="9351918010171"/>
    <x v="16"/>
    <n v="5"/>
    <n v="79.25"/>
    <n v="0"/>
    <n v="0"/>
    <n v="0"/>
    <n v="79.25"/>
    <n v="0"/>
    <n v="79.25"/>
    <n v="5"/>
  </r>
  <r>
    <x v="272"/>
    <s v="Regular"/>
    <n v="9351918010164"/>
    <x v="16"/>
    <n v="1"/>
    <n v="12.55"/>
    <n v="0"/>
    <n v="0"/>
    <n v="0"/>
    <n v="12.55"/>
    <n v="0"/>
    <n v="12.55"/>
    <n v="1"/>
  </r>
  <r>
    <x v="273"/>
    <s v="Regular"/>
    <n v="9309002235009"/>
    <x v="16"/>
    <n v="8"/>
    <n v="85.6"/>
    <n v="0"/>
    <n v="0"/>
    <n v="-2.17"/>
    <n v="83.43"/>
    <n v="0"/>
    <n v="83.43"/>
    <n v="8"/>
  </r>
  <r>
    <x v="274"/>
    <s v="Regular"/>
    <n v="9309002235023"/>
    <x v="16"/>
    <n v="2"/>
    <n v="29.7"/>
    <n v="0"/>
    <n v="0"/>
    <n v="-2.06"/>
    <n v="27.64"/>
    <n v="0"/>
    <n v="27.64"/>
    <n v="2"/>
  </r>
  <r>
    <x v="275"/>
    <s v="Regular"/>
    <n v="9358563000007"/>
    <x v="16"/>
    <n v="1"/>
    <n v="13.95"/>
    <n v="0"/>
    <n v="0"/>
    <n v="-13.95"/>
    <n v="0"/>
    <n v="0"/>
    <n v="0"/>
    <n v="1"/>
  </r>
  <r>
    <x v="276"/>
    <s v="Regular"/>
    <n v="9358563000021"/>
    <x v="16"/>
    <n v="3"/>
    <n v="51"/>
    <n v="0"/>
    <n v="0"/>
    <n v="0"/>
    <n v="51"/>
    <n v="0"/>
    <n v="51"/>
    <n v="3"/>
  </r>
  <r>
    <x v="277"/>
    <s v="Regular"/>
    <n v="9335079000011"/>
    <x v="16"/>
    <n v="2"/>
    <n v="20.8"/>
    <n v="0"/>
    <n v="0"/>
    <n v="0"/>
    <n v="20.8"/>
    <n v="0"/>
    <n v="20.8"/>
    <n v="2"/>
  </r>
  <r>
    <x v="278"/>
    <s v="Regular"/>
    <n v="9415466002184"/>
    <x v="16"/>
    <n v="3"/>
    <n v="41.7"/>
    <n v="0"/>
    <n v="0"/>
    <n v="-1.93"/>
    <n v="39.770000000000003"/>
    <n v="0"/>
    <n v="39.770000000000003"/>
    <n v="3"/>
  </r>
  <r>
    <x v="279"/>
    <s v="Regular"/>
    <n v="9314075001055"/>
    <x v="16"/>
    <n v="1"/>
    <n v="4.8499999999999996"/>
    <n v="0"/>
    <n v="0"/>
    <n v="0"/>
    <n v="4.8499999999999996"/>
    <n v="0"/>
    <n v="4.8499999999999996"/>
    <n v="1"/>
  </r>
  <r>
    <x v="280"/>
    <s v="Regular"/>
    <n v="9314075001062"/>
    <x v="16"/>
    <n v="3"/>
    <n v="18.75"/>
    <n v="0"/>
    <n v="0"/>
    <n v="0"/>
    <n v="18.75"/>
    <n v="0"/>
    <n v="18.75"/>
    <n v="3"/>
  </r>
  <r>
    <x v="281"/>
    <s v="Regular"/>
    <n v="9314075001079"/>
    <x v="16"/>
    <n v="2"/>
    <n v="24.9"/>
    <n v="0"/>
    <n v="0"/>
    <n v="-14.08"/>
    <n v="10.82"/>
    <n v="0"/>
    <n v="10.82"/>
    <n v="2"/>
  </r>
  <r>
    <x v="282"/>
    <s v="Regular"/>
    <n v="9314075001741"/>
    <x v="16"/>
    <n v="1"/>
    <n v="10.199999999999999"/>
    <n v="0"/>
    <n v="0"/>
    <n v="0"/>
    <n v="10.199999999999999"/>
    <n v="0"/>
    <n v="10.199999999999999"/>
    <n v="1"/>
  </r>
  <r>
    <x v="283"/>
    <s v="Regular"/>
    <n v="9351474000142"/>
    <x v="17"/>
    <n v="3"/>
    <n v="32.700000000000003"/>
    <n v="0"/>
    <n v="0"/>
    <n v="0"/>
    <n v="32.700000000000003"/>
    <n v="0"/>
    <n v="32.700000000000003"/>
    <n v="3"/>
  </r>
  <r>
    <x v="284"/>
    <s v="Regular"/>
    <n v="9351474000500"/>
    <x v="17"/>
    <n v="1"/>
    <n v="10.9"/>
    <n v="0"/>
    <n v="0"/>
    <n v="0"/>
    <n v="10.9"/>
    <n v="0"/>
    <n v="10.9"/>
    <n v="1"/>
  </r>
  <r>
    <x v="285"/>
    <s v="Regular"/>
    <n v="9351474001545"/>
    <x v="17"/>
    <n v="1"/>
    <n v="10.9"/>
    <n v="0"/>
    <n v="0"/>
    <n v="0"/>
    <n v="10.9"/>
    <n v="0"/>
    <n v="10.9"/>
    <n v="1"/>
  </r>
  <r>
    <x v="286"/>
    <s v="Regular"/>
    <n v="9351474001484"/>
    <x v="17"/>
    <n v="1"/>
    <n v="9.35"/>
    <n v="0"/>
    <n v="0"/>
    <n v="0"/>
    <n v="9.35"/>
    <n v="0"/>
    <n v="9.35"/>
    <n v="1"/>
  </r>
  <r>
    <x v="287"/>
    <s v="Regular"/>
    <n v="94922606341"/>
    <x v="17"/>
    <n v="1"/>
    <n v="21.2"/>
    <n v="0"/>
    <n v="0"/>
    <n v="0"/>
    <n v="21.2"/>
    <n v="0"/>
    <n v="21.2"/>
    <n v="1"/>
  </r>
  <r>
    <x v="288"/>
    <s v="Regular"/>
    <n v="80687476626"/>
    <x v="17"/>
    <n v="2"/>
    <n v="27.5"/>
    <n v="0"/>
    <n v="0"/>
    <n v="0"/>
    <n v="27.5"/>
    <n v="0"/>
    <n v="27.5"/>
    <n v="2"/>
  </r>
  <r>
    <x v="289"/>
    <s v="Regular"/>
    <n v="680569373328"/>
    <x v="17"/>
    <n v="1"/>
    <n v="14.8"/>
    <n v="0"/>
    <n v="0"/>
    <n v="-3.22"/>
    <n v="11.58"/>
    <n v="0"/>
    <n v="11.58"/>
    <n v="1"/>
  </r>
  <r>
    <x v="290"/>
    <s v="Regular"/>
    <n v="9342824000219"/>
    <x v="17"/>
    <n v="1"/>
    <n v="22.87"/>
    <n v="0"/>
    <n v="0"/>
    <n v="0"/>
    <n v="22.87"/>
    <n v="2.2799999999999998"/>
    <n v="25.15"/>
    <n v="1"/>
  </r>
  <r>
    <x v="291"/>
    <s v="Regular"/>
    <n v="9342824000080"/>
    <x v="17"/>
    <n v="1"/>
    <n v="27.95"/>
    <n v="0"/>
    <n v="0"/>
    <n v="-2.0499999999999998"/>
    <n v="25.9"/>
    <n v="0"/>
    <n v="25.9"/>
    <n v="1"/>
  </r>
  <r>
    <x v="292"/>
    <s v="Regular"/>
    <n v="9342824000097"/>
    <x v="17"/>
    <n v="1"/>
    <n v="52.5"/>
    <n v="0"/>
    <n v="0"/>
    <n v="0"/>
    <n v="52.5"/>
    <n v="0"/>
    <n v="52.5"/>
    <n v="1"/>
  </r>
  <r>
    <x v="293"/>
    <s v="Regular"/>
    <n v="9347881000011"/>
    <x v="17"/>
    <n v="2"/>
    <n v="6.14"/>
    <n v="0"/>
    <n v="0"/>
    <n v="-0.67"/>
    <n v="5.47"/>
    <n v="0.56000000000000005"/>
    <n v="6.03"/>
    <n v="2"/>
  </r>
  <r>
    <x v="294"/>
    <s v="Regular"/>
    <n v="9330360000039"/>
    <x v="17"/>
    <n v="1"/>
    <n v="4.8"/>
    <n v="0"/>
    <n v="0"/>
    <n v="0"/>
    <n v="4.8"/>
    <n v="0"/>
    <n v="4.8"/>
    <n v="1"/>
  </r>
  <r>
    <x v="295"/>
    <s v="Regular"/>
    <n v="9339944004203"/>
    <x v="17"/>
    <n v="1"/>
    <n v="12.75"/>
    <n v="0"/>
    <n v="0"/>
    <n v="0"/>
    <n v="12.75"/>
    <n v="0"/>
    <n v="12.75"/>
    <n v="1"/>
  </r>
  <r>
    <x v="296"/>
    <s v="Regular"/>
    <n v="9339944001271"/>
    <x v="17"/>
    <n v="1"/>
    <n v="5.6"/>
    <n v="0"/>
    <n v="0"/>
    <n v="0"/>
    <n v="5.6"/>
    <n v="0"/>
    <n v="5.6"/>
    <n v="1"/>
  </r>
  <r>
    <x v="297"/>
    <s v="Regular"/>
    <n v="9339944005026"/>
    <x v="17"/>
    <n v="3"/>
    <n v="11.85"/>
    <n v="0"/>
    <n v="0"/>
    <n v="-4.51"/>
    <n v="7.34"/>
    <n v="0"/>
    <n v="7.34"/>
    <n v="3"/>
  </r>
  <r>
    <x v="298"/>
    <s v="Regular"/>
    <n v="9339944005033"/>
    <x v="17"/>
    <n v="2"/>
    <n v="8.1999999999999993"/>
    <n v="0"/>
    <n v="0"/>
    <n v="-0.22"/>
    <n v="7.98"/>
    <n v="0"/>
    <n v="7.98"/>
    <n v="2"/>
  </r>
  <r>
    <x v="299"/>
    <s v="Regular"/>
    <n v="9339944008904"/>
    <x v="17"/>
    <n v="1"/>
    <n v="6.2"/>
    <n v="0"/>
    <n v="0"/>
    <n v="-1.24"/>
    <n v="4.96"/>
    <n v="0"/>
    <n v="4.96"/>
    <n v="1"/>
  </r>
  <r>
    <x v="300"/>
    <s v="Regular"/>
    <n v="9339944012093"/>
    <x v="17"/>
    <n v="2"/>
    <n v="19.07"/>
    <n v="0"/>
    <n v="0"/>
    <n v="0"/>
    <n v="19.07"/>
    <n v="1.93"/>
    <n v="21"/>
    <n v="2"/>
  </r>
  <r>
    <x v="301"/>
    <s v="Regular"/>
    <n v="9339944003589"/>
    <x v="17"/>
    <n v="1"/>
    <n v="13.76"/>
    <n v="0"/>
    <n v="0"/>
    <n v="0"/>
    <n v="13.76"/>
    <n v="1.39"/>
    <n v="15.15"/>
    <n v="1"/>
  </r>
  <r>
    <x v="302"/>
    <s v="Regular"/>
    <n v="9339944018101"/>
    <x v="17"/>
    <n v="1"/>
    <n v="8.9499999999999993"/>
    <n v="0"/>
    <n v="0"/>
    <n v="0"/>
    <n v="8.9499999999999993"/>
    <n v="0"/>
    <n v="8.9499999999999993"/>
    <n v="1"/>
  </r>
  <r>
    <x v="303"/>
    <s v="Regular"/>
    <n v="9339944002346"/>
    <x v="17"/>
    <n v="2"/>
    <n v="39.299999999999997"/>
    <n v="0"/>
    <n v="0"/>
    <n v="-5.9"/>
    <n v="33.4"/>
    <n v="0"/>
    <n v="33.4"/>
    <n v="2"/>
  </r>
  <r>
    <x v="304"/>
    <s v="Regular"/>
    <n v="9339944003954"/>
    <x v="17"/>
    <n v="2"/>
    <n v="31.7"/>
    <n v="0"/>
    <n v="0"/>
    <n v="-3.17"/>
    <n v="28.53"/>
    <n v="0"/>
    <n v="28.53"/>
    <n v="2"/>
  </r>
  <r>
    <x v="305"/>
    <s v="Regular"/>
    <n v="9339944001097"/>
    <x v="17"/>
    <n v="1"/>
    <n v="10.6"/>
    <n v="0"/>
    <n v="0"/>
    <n v="0"/>
    <n v="10.6"/>
    <n v="0"/>
    <n v="10.6"/>
    <n v="1"/>
  </r>
  <r>
    <x v="306"/>
    <s v="Regular"/>
    <n v="9339944001110"/>
    <x v="17"/>
    <n v="2"/>
    <n v="15.4"/>
    <n v="0"/>
    <n v="0"/>
    <n v="-1.01"/>
    <n v="14.39"/>
    <n v="0"/>
    <n v="14.39"/>
    <n v="2"/>
  </r>
  <r>
    <x v="307"/>
    <s v="Regular"/>
    <n v="9339944000458"/>
    <x v="17"/>
    <n v="1"/>
    <n v="13"/>
    <n v="0"/>
    <n v="0"/>
    <n v="0"/>
    <n v="13"/>
    <n v="0"/>
    <n v="13"/>
    <n v="1"/>
  </r>
  <r>
    <x v="308"/>
    <s v="Regular"/>
    <n v="9339944003213"/>
    <x v="17"/>
    <n v="2"/>
    <n v="82.7"/>
    <n v="0"/>
    <n v="0"/>
    <n v="-4.1399999999999997"/>
    <n v="78.56"/>
    <n v="0"/>
    <n v="78.56"/>
    <n v="2"/>
  </r>
  <r>
    <x v="309"/>
    <s v="Regular"/>
    <n v="9339944004487"/>
    <x v="17"/>
    <n v="3"/>
    <n v="15.75"/>
    <n v="0"/>
    <n v="0"/>
    <n v="-0.48"/>
    <n v="15.27"/>
    <n v="0"/>
    <n v="15.27"/>
    <n v="3"/>
  </r>
  <r>
    <x v="310"/>
    <s v="Regular"/>
    <n v="9339944003312"/>
    <x v="17"/>
    <n v="1"/>
    <n v="10.9"/>
    <n v="0"/>
    <n v="0"/>
    <n v="-1.06"/>
    <n v="9.84"/>
    <n v="0"/>
    <n v="9.84"/>
    <n v="1"/>
  </r>
  <r>
    <x v="311"/>
    <s v="Regular"/>
    <n v="9339944000946"/>
    <x v="17"/>
    <n v="2"/>
    <n v="25.8"/>
    <n v="0"/>
    <n v="0"/>
    <n v="-2.58"/>
    <n v="23.22"/>
    <n v="0"/>
    <n v="23.22"/>
    <n v="2"/>
  </r>
  <r>
    <x v="312"/>
    <s v="Regular"/>
    <n v="9421906924213"/>
    <x v="17"/>
    <n v="2"/>
    <n v="27.33"/>
    <n v="0"/>
    <n v="0"/>
    <n v="0"/>
    <n v="27.33"/>
    <n v="2.77"/>
    <n v="30.1"/>
    <n v="2"/>
  </r>
  <r>
    <x v="313"/>
    <s v="Regular"/>
    <n v="9348082020488"/>
    <x v="17"/>
    <n v="1"/>
    <n v="11.85"/>
    <n v="0"/>
    <n v="0"/>
    <n v="0"/>
    <n v="11.85"/>
    <n v="0"/>
    <n v="11.85"/>
    <n v="1"/>
  </r>
  <r>
    <x v="314"/>
    <s v="Regular"/>
    <n v="9348082020495"/>
    <x v="17"/>
    <n v="3"/>
    <n v="67.290000000000006"/>
    <n v="0"/>
    <n v="0"/>
    <n v="0"/>
    <n v="67.290000000000006"/>
    <n v="6.81"/>
    <n v="74.099999999999994"/>
    <n v="3"/>
  </r>
  <r>
    <x v="315"/>
    <s v="Regular"/>
    <n v="9348082020631"/>
    <x v="17"/>
    <n v="3"/>
    <n v="30.78"/>
    <n v="0"/>
    <n v="0"/>
    <n v="0"/>
    <n v="30.78"/>
    <n v="3.12"/>
    <n v="33.9"/>
    <n v="3"/>
  </r>
  <r>
    <x v="316"/>
    <s v="Regular"/>
    <n v="9348082020709"/>
    <x v="17"/>
    <n v="3"/>
    <n v="84.9"/>
    <n v="0"/>
    <n v="0"/>
    <n v="-8.49"/>
    <n v="76.41"/>
    <n v="0"/>
    <n v="76.41"/>
    <n v="3"/>
  </r>
  <r>
    <x v="317"/>
    <s v="Regular"/>
    <n v="9348082020754"/>
    <x v="17"/>
    <n v="1"/>
    <n v="24.7"/>
    <n v="0"/>
    <n v="0"/>
    <n v="0"/>
    <n v="24.7"/>
    <n v="0"/>
    <n v="24.7"/>
    <n v="1"/>
  </r>
  <r>
    <x v="318"/>
    <s v="Regular"/>
    <n v="9369998082827"/>
    <x v="17"/>
    <n v="1"/>
    <n v="8"/>
    <n v="0"/>
    <n v="0"/>
    <n v="-1.6"/>
    <n v="6.4"/>
    <n v="0"/>
    <n v="6.4"/>
    <n v="1"/>
  </r>
  <r>
    <x v="319"/>
    <s v="Regular"/>
    <n v="9351857000189"/>
    <x v="17"/>
    <n v="1"/>
    <n v="26.5"/>
    <n v="0"/>
    <n v="0"/>
    <n v="0"/>
    <n v="26.5"/>
    <n v="0"/>
    <n v="26.5"/>
    <n v="1"/>
  </r>
  <r>
    <x v="320"/>
    <s v="Regular"/>
    <n v="9351857000431"/>
    <x v="17"/>
    <n v="1"/>
    <n v="38.549999999999997"/>
    <n v="0"/>
    <n v="0"/>
    <n v="0"/>
    <n v="38.549999999999997"/>
    <n v="3.9"/>
    <n v="42.45"/>
    <n v="1"/>
  </r>
  <r>
    <x v="321"/>
    <s v="Regular"/>
    <n v="9351857000196"/>
    <x v="17"/>
    <n v="1"/>
    <n v="19.25"/>
    <n v="0"/>
    <n v="0"/>
    <n v="0"/>
    <n v="19.25"/>
    <n v="1.95"/>
    <n v="21.2"/>
    <n v="1"/>
  </r>
  <r>
    <x v="322"/>
    <s v="Regular"/>
    <n v="9351857001278"/>
    <x v="17"/>
    <n v="2"/>
    <n v="24.98"/>
    <n v="0"/>
    <n v="0"/>
    <n v="0"/>
    <n v="24.98"/>
    <n v="2.52"/>
    <n v="27.5"/>
    <n v="2"/>
  </r>
  <r>
    <x v="323"/>
    <s v="Regular"/>
    <n v="9351857001223"/>
    <x v="17"/>
    <n v="1"/>
    <n v="13.4"/>
    <n v="0"/>
    <n v="0"/>
    <n v="0"/>
    <n v="13.4"/>
    <n v="1.35"/>
    <n v="14.75"/>
    <n v="1"/>
  </r>
  <r>
    <x v="324"/>
    <s v="Regular"/>
    <n v="9351857007003"/>
    <x v="17"/>
    <n v="1"/>
    <n v="20.84"/>
    <n v="0"/>
    <n v="0"/>
    <n v="0"/>
    <n v="20.84"/>
    <n v="2.11"/>
    <n v="22.95"/>
    <n v="1"/>
  </r>
  <r>
    <x v="325"/>
    <s v="Regular"/>
    <n v="9351857001070"/>
    <x v="17"/>
    <n v="1"/>
    <n v="12.49"/>
    <n v="0"/>
    <n v="0"/>
    <n v="0"/>
    <n v="12.49"/>
    <n v="1.26"/>
    <n v="13.75"/>
    <n v="1"/>
  </r>
  <r>
    <x v="326"/>
    <s v="Regular"/>
    <n v="9351857001018"/>
    <x v="17"/>
    <n v="2"/>
    <n v="22.16"/>
    <n v="0"/>
    <n v="0"/>
    <n v="0"/>
    <n v="22.16"/>
    <n v="2.2400000000000002"/>
    <n v="24.4"/>
    <n v="2"/>
  </r>
  <r>
    <x v="327"/>
    <s v="Regular"/>
    <n v="9351857002558"/>
    <x v="17"/>
    <n v="1"/>
    <n v="19.309999999999999"/>
    <n v="0"/>
    <n v="0"/>
    <n v="-0.67"/>
    <n v="18.64"/>
    <n v="1.89"/>
    <n v="20.53"/>
    <n v="1"/>
  </r>
  <r>
    <x v="328"/>
    <s v="Regular"/>
    <n v="100000001103"/>
    <x v="17"/>
    <n v="5"/>
    <n v="40"/>
    <n v="0"/>
    <n v="0"/>
    <n v="-3.71"/>
    <n v="36.29"/>
    <n v="0"/>
    <n v="36.29"/>
    <n v="5"/>
  </r>
  <r>
    <x v="329"/>
    <s v="Regular"/>
    <n v="7290108802535"/>
    <x v="17"/>
    <n v="1"/>
    <n v="38.950000000000003"/>
    <n v="0"/>
    <n v="0"/>
    <n v="0"/>
    <n v="38.950000000000003"/>
    <n v="0"/>
    <n v="38.950000000000003"/>
    <n v="1"/>
  </r>
  <r>
    <x v="330"/>
    <s v="Regular"/>
    <n v="9332834001252"/>
    <x v="17"/>
    <n v="1"/>
    <n v="13"/>
    <n v="0"/>
    <n v="0"/>
    <n v="0"/>
    <n v="13"/>
    <n v="0"/>
    <n v="13"/>
    <n v="1"/>
  </r>
  <r>
    <x v="331"/>
    <s v="Regular"/>
    <n v="785034586972"/>
    <x v="17"/>
    <n v="2"/>
    <n v="42.5"/>
    <n v="0"/>
    <n v="0"/>
    <n v="-4.25"/>
    <n v="38.25"/>
    <n v="0"/>
    <n v="38.25"/>
    <n v="2"/>
  </r>
  <r>
    <x v="332"/>
    <s v="Regular"/>
    <n v="9312336275016"/>
    <x v="17"/>
    <n v="1"/>
    <n v="3.3"/>
    <n v="0"/>
    <n v="0"/>
    <n v="0"/>
    <n v="3.3"/>
    <n v="0"/>
    <n v="3.3"/>
    <n v="1"/>
  </r>
  <r>
    <x v="333"/>
    <s v="Regular"/>
    <n v="793052218041"/>
    <x v="17"/>
    <n v="1"/>
    <n v="7.25"/>
    <n v="0"/>
    <n v="0"/>
    <n v="0"/>
    <n v="7.25"/>
    <n v="0"/>
    <n v="7.25"/>
    <n v="1"/>
  </r>
  <r>
    <x v="334"/>
    <s v="Regular"/>
    <n v="8997033003387"/>
    <x v="17"/>
    <n v="1"/>
    <n v="3.81"/>
    <n v="0"/>
    <n v="0"/>
    <n v="0"/>
    <n v="3.81"/>
    <n v="0.39"/>
    <n v="4.2"/>
    <n v="1"/>
  </r>
  <r>
    <x v="335"/>
    <s v="Regular"/>
    <n v="8997033003394"/>
    <x v="17"/>
    <n v="4"/>
    <n v="15.41"/>
    <n v="0"/>
    <n v="0"/>
    <n v="-1.68"/>
    <n v="13.73"/>
    <n v="1.39"/>
    <n v="15.12"/>
    <n v="4"/>
  </r>
  <r>
    <x v="336"/>
    <s v="Regular"/>
    <n v="8997033003400"/>
    <x v="17"/>
    <n v="6"/>
    <n v="22.89"/>
    <n v="0"/>
    <n v="0"/>
    <n v="-0.1"/>
    <n v="22.79"/>
    <n v="2.31"/>
    <n v="25.1"/>
    <n v="6"/>
  </r>
  <r>
    <x v="337"/>
    <s v="Regular"/>
    <n v="8997033003424"/>
    <x v="17"/>
    <n v="1"/>
    <n v="3.82"/>
    <n v="0"/>
    <n v="0"/>
    <n v="0"/>
    <n v="3.82"/>
    <n v="0.38"/>
    <n v="4.2"/>
    <n v="1"/>
  </r>
  <r>
    <x v="338"/>
    <s v="Regular"/>
    <n v="794712897361"/>
    <x v="18"/>
    <n v="1"/>
    <n v="39.24"/>
    <n v="0"/>
    <n v="0"/>
    <n v="-8.4700000000000006"/>
    <n v="30.77"/>
    <n v="3.11"/>
    <n v="33.880000000000003"/>
    <n v="1"/>
  </r>
  <r>
    <x v="339"/>
    <s v="Regular"/>
    <n v="9354449070010"/>
    <x v="18"/>
    <n v="1"/>
    <n v="113.65"/>
    <n v="0"/>
    <n v="0"/>
    <n v="0"/>
    <n v="113.65"/>
    <n v="0"/>
    <n v="113.65"/>
    <n v="1"/>
  </r>
  <r>
    <x v="340"/>
    <s v="Regular"/>
    <n v="9354449070027"/>
    <x v="18"/>
    <n v="1"/>
    <n v="10.95"/>
    <n v="0"/>
    <n v="0"/>
    <n v="0"/>
    <n v="10.95"/>
    <n v="0"/>
    <n v="10.95"/>
    <n v="1"/>
  </r>
  <r>
    <x v="341"/>
    <s v="Sachet"/>
    <s v="C535128"/>
    <x v="18"/>
    <n v="6"/>
    <n v="24.6"/>
    <n v="0"/>
    <n v="0"/>
    <n v="0"/>
    <n v="24.6"/>
    <n v="0"/>
    <n v="24.6"/>
    <n v="6"/>
  </r>
  <r>
    <x v="342"/>
    <s v="Box"/>
    <n v="726436085717"/>
    <x v="18"/>
    <n v="1"/>
    <n v="55"/>
    <n v="0"/>
    <n v="0"/>
    <n v="0"/>
    <n v="55"/>
    <n v="0"/>
    <n v="55"/>
    <n v="1"/>
  </r>
  <r>
    <x v="343"/>
    <s v="Sachet"/>
    <s v="908925R"/>
    <x v="18"/>
    <n v="9"/>
    <n v="36"/>
    <n v="0"/>
    <n v="0"/>
    <n v="-1.61"/>
    <n v="34.39"/>
    <n v="0"/>
    <n v="34.39"/>
    <n v="9"/>
  </r>
  <r>
    <x v="344"/>
    <s v="Sachet"/>
    <s v="533682Z"/>
    <x v="18"/>
    <n v="10"/>
    <n v="40"/>
    <n v="0"/>
    <n v="0"/>
    <n v="0"/>
    <n v="40"/>
    <n v="0"/>
    <n v="40"/>
    <n v="10"/>
  </r>
  <r>
    <x v="345"/>
    <s v="Regular"/>
    <n v="9332834002518"/>
    <x v="18"/>
    <n v="1"/>
    <n v="44.35"/>
    <n v="0"/>
    <n v="0"/>
    <n v="0"/>
    <n v="44.35"/>
    <n v="0"/>
    <n v="44.35"/>
    <n v="1"/>
  </r>
  <r>
    <x v="346"/>
    <s v="Regular"/>
    <n v="9354444001101"/>
    <x v="18"/>
    <n v="1"/>
    <n v="29.92"/>
    <n v="0"/>
    <n v="0"/>
    <n v="0"/>
    <n v="29.92"/>
    <n v="3.03"/>
    <n v="32.950000000000003"/>
    <n v="1"/>
  </r>
  <r>
    <x v="347"/>
    <s v="Regular"/>
    <n v="9421902964411"/>
    <x v="19"/>
    <n v="2"/>
    <n v="18.16"/>
    <n v="0"/>
    <n v="0"/>
    <n v="0"/>
    <n v="18.16"/>
    <n v="1.84"/>
    <n v="20"/>
    <n v="2"/>
  </r>
  <r>
    <x v="348"/>
    <s v="Regular"/>
    <n v="9421902090028"/>
    <x v="19"/>
    <n v="2"/>
    <n v="10.17"/>
    <n v="0"/>
    <n v="0"/>
    <n v="0"/>
    <n v="10.17"/>
    <n v="1.03"/>
    <n v="11.2"/>
    <n v="2"/>
  </r>
  <r>
    <x v="349"/>
    <s v="Regular"/>
    <n v="9352271000380"/>
    <x v="19"/>
    <n v="16"/>
    <n v="72.02"/>
    <n v="0"/>
    <n v="0"/>
    <n v="-0.54"/>
    <n v="71.48"/>
    <n v="7.18"/>
    <n v="78.66"/>
    <n v="16"/>
  </r>
  <r>
    <x v="350"/>
    <s v="Regular"/>
    <n v="9352271000366"/>
    <x v="19"/>
    <n v="8"/>
    <n v="23.61"/>
    <n v="0"/>
    <n v="0"/>
    <n v="0"/>
    <n v="23.61"/>
    <n v="2.39"/>
    <n v="26"/>
    <n v="8"/>
  </r>
  <r>
    <x v="351"/>
    <s v="Regular"/>
    <n v="9300745900858"/>
    <x v="19"/>
    <n v="2"/>
    <n v="49.58"/>
    <n v="0"/>
    <n v="0"/>
    <n v="0"/>
    <n v="49.58"/>
    <n v="5.0199999999999996"/>
    <n v="54.6"/>
    <n v="2"/>
  </r>
  <r>
    <x v="352"/>
    <s v="Regular"/>
    <n v="9421017790097"/>
    <x v="19"/>
    <n v="3"/>
    <n v="25.74"/>
    <n v="0"/>
    <n v="0"/>
    <n v="0"/>
    <n v="25.74"/>
    <n v="2.61"/>
    <n v="28.35"/>
    <n v="3"/>
  </r>
  <r>
    <x v="353"/>
    <s v="Regular"/>
    <n v="9421017790103"/>
    <x v="19"/>
    <n v="6"/>
    <n v="35.409999999999997"/>
    <n v="0"/>
    <n v="0"/>
    <n v="0"/>
    <n v="35.409999999999997"/>
    <n v="3.59"/>
    <n v="39"/>
    <n v="6"/>
  </r>
  <r>
    <x v="354"/>
    <s v="Regular"/>
    <n v="9421017790127"/>
    <x v="19"/>
    <n v="4"/>
    <n v="23.6"/>
    <n v="0"/>
    <n v="0"/>
    <n v="-1.59"/>
    <n v="22.01"/>
    <n v="0"/>
    <n v="22.01"/>
    <n v="4"/>
  </r>
  <r>
    <x v="355"/>
    <s v="Regular"/>
    <n v="9339496000005"/>
    <x v="19"/>
    <n v="2"/>
    <n v="7.62"/>
    <n v="0"/>
    <n v="0"/>
    <n v="0"/>
    <n v="7.62"/>
    <n v="0.78"/>
    <n v="8.4"/>
    <n v="2"/>
  </r>
  <r>
    <x v="356"/>
    <s v="Regular"/>
    <n v="9369900033589"/>
    <x v="19"/>
    <n v="2"/>
    <n v="10"/>
    <n v="0"/>
    <n v="0"/>
    <n v="0"/>
    <n v="10"/>
    <n v="0"/>
    <n v="10"/>
    <n v="2"/>
  </r>
  <r>
    <x v="357"/>
    <s v="Regular"/>
    <n v="9369998245338"/>
    <x v="19"/>
    <n v="2"/>
    <n v="10"/>
    <n v="0"/>
    <n v="0"/>
    <n v="0"/>
    <n v="10"/>
    <n v="0"/>
    <n v="10"/>
    <n v="2"/>
  </r>
  <r>
    <x v="358"/>
    <s v="Regular"/>
    <n v="9369998168101"/>
    <x v="19"/>
    <n v="1"/>
    <n v="5"/>
    <n v="0"/>
    <n v="0"/>
    <n v="0"/>
    <n v="5"/>
    <n v="0"/>
    <n v="5"/>
    <n v="1"/>
  </r>
  <r>
    <x v="359"/>
    <s v="Regular"/>
    <n v="9312336048221"/>
    <x v="19"/>
    <n v="8"/>
    <n v="33.42"/>
    <n v="0"/>
    <n v="0"/>
    <n v="0"/>
    <n v="33.42"/>
    <n v="3.38"/>
    <n v="36.799999999999997"/>
    <n v="8"/>
  </r>
  <r>
    <x v="360"/>
    <s v="Regular"/>
    <n v="9312336048290"/>
    <x v="19"/>
    <n v="2"/>
    <n v="8.35"/>
    <n v="0"/>
    <n v="0"/>
    <n v="0"/>
    <n v="8.35"/>
    <n v="0.85"/>
    <n v="9.1999999999999993"/>
    <n v="2"/>
  </r>
  <r>
    <x v="361"/>
    <s v="Regular"/>
    <n v="9312336048283"/>
    <x v="19"/>
    <n v="6"/>
    <n v="25.08"/>
    <n v="0"/>
    <n v="0"/>
    <n v="0"/>
    <n v="25.08"/>
    <n v="2.52"/>
    <n v="27.6"/>
    <n v="6"/>
  </r>
  <r>
    <x v="362"/>
    <s v="Regular"/>
    <n v="9312336048214"/>
    <x v="19"/>
    <n v="7"/>
    <n v="29.25"/>
    <n v="0"/>
    <n v="0"/>
    <n v="0"/>
    <n v="29.25"/>
    <n v="2.95"/>
    <n v="32.200000000000003"/>
    <n v="7"/>
  </r>
  <r>
    <x v="363"/>
    <s v="Regular"/>
    <n v="9421902964909"/>
    <x v="19"/>
    <n v="1"/>
    <n v="8.76"/>
    <n v="0"/>
    <n v="0"/>
    <n v="0"/>
    <n v="8.76"/>
    <n v="0.89"/>
    <n v="9.65"/>
    <n v="1"/>
  </r>
  <r>
    <x v="364"/>
    <s v="Regular"/>
    <n v="9309000071067"/>
    <x v="19"/>
    <n v="3"/>
    <n v="17.03"/>
    <n v="0"/>
    <n v="0"/>
    <n v="0"/>
    <n v="17.03"/>
    <n v="1.72"/>
    <n v="18.75"/>
    <n v="3"/>
  </r>
  <r>
    <x v="365"/>
    <s v="Regular"/>
    <n v="9369900075930"/>
    <x v="19"/>
    <n v="3"/>
    <n v="20.71"/>
    <n v="0"/>
    <n v="0"/>
    <n v="-3"/>
    <n v="17.71"/>
    <n v="1.79"/>
    <n v="19.5"/>
    <n v="3"/>
  </r>
  <r>
    <x v="366"/>
    <s v="Regular"/>
    <n v="9413000050547"/>
    <x v="19"/>
    <n v="1"/>
    <n v="27"/>
    <n v="0"/>
    <n v="0"/>
    <n v="0"/>
    <n v="27"/>
    <n v="0"/>
    <n v="27"/>
    <n v="1"/>
  </r>
  <r>
    <x v="367"/>
    <s v="Regular"/>
    <n v="9369998327379"/>
    <x v="19"/>
    <n v="4"/>
    <n v="24.52"/>
    <n v="0"/>
    <n v="0"/>
    <n v="-2.0099999999999998"/>
    <n v="22.51"/>
    <n v="2.2799999999999998"/>
    <n v="24.79"/>
    <n v="4"/>
  </r>
  <r>
    <x v="368"/>
    <s v="Regular"/>
    <n v="9369998097111"/>
    <x v="19"/>
    <n v="2"/>
    <n v="12.17"/>
    <n v="0"/>
    <n v="0"/>
    <n v="0"/>
    <n v="12.17"/>
    <n v="1.23"/>
    <n v="13.4"/>
    <n v="2"/>
  </r>
  <r>
    <x v="369"/>
    <s v="Regular"/>
    <n v="9369998158102"/>
    <x v="19"/>
    <n v="2"/>
    <n v="12.18"/>
    <n v="0"/>
    <n v="0"/>
    <n v="0"/>
    <n v="12.18"/>
    <n v="1.22"/>
    <n v="13.4"/>
    <n v="2"/>
  </r>
  <r>
    <x v="370"/>
    <s v="Regular"/>
    <n v="9369998238903"/>
    <x v="19"/>
    <n v="6"/>
    <n v="36.65"/>
    <n v="0"/>
    <n v="0"/>
    <n v="-1.61"/>
    <n v="35.04"/>
    <n v="3.55"/>
    <n v="38.590000000000003"/>
    <n v="6"/>
  </r>
  <r>
    <x v="371"/>
    <s v="Regular"/>
    <n v="9369998240739"/>
    <x v="19"/>
    <n v="53"/>
    <n v="268.48"/>
    <n v="0"/>
    <n v="0"/>
    <n v="-40.700000000000003"/>
    <n v="227.78"/>
    <n v="23.02"/>
    <n v="250.8"/>
    <n v="53"/>
  </r>
  <r>
    <x v="372"/>
    <s v="Regular"/>
    <n v="9309001347000"/>
    <x v="19"/>
    <n v="34"/>
    <n v="170.28"/>
    <n v="0"/>
    <n v="0"/>
    <n v="-5"/>
    <n v="165.28"/>
    <n v="16.72"/>
    <n v="182"/>
    <n v="34"/>
  </r>
  <r>
    <x v="373"/>
    <s v="Regular"/>
    <n v="9309001347086"/>
    <x v="19"/>
    <n v="28"/>
    <n v="139.86000000000001"/>
    <n v="0"/>
    <n v="0"/>
    <n v="0"/>
    <n v="139.86000000000001"/>
    <n v="14.14"/>
    <n v="154"/>
    <n v="28"/>
  </r>
  <r>
    <x v="374"/>
    <s v="Regular"/>
    <n v="9351775001152"/>
    <x v="19"/>
    <n v="2"/>
    <n v="12.29"/>
    <n v="0"/>
    <n v="0"/>
    <n v="-4.26"/>
    <n v="8.0299999999999994"/>
    <n v="0.81"/>
    <n v="8.84"/>
    <n v="2"/>
  </r>
  <r>
    <x v="375"/>
    <s v="Regular"/>
    <n v="9351775001176"/>
    <x v="19"/>
    <n v="5"/>
    <n v="29.75"/>
    <n v="0"/>
    <n v="0"/>
    <n v="0"/>
    <n v="29.75"/>
    <n v="3"/>
    <n v="32.75"/>
    <n v="5"/>
  </r>
  <r>
    <x v="376"/>
    <s v="Regular"/>
    <n v="9421902090028"/>
    <x v="19"/>
    <n v="1"/>
    <n v="5.09"/>
    <n v="0"/>
    <n v="0"/>
    <n v="0"/>
    <n v="5.09"/>
    <n v="0.51"/>
    <n v="5.6"/>
    <n v="1"/>
  </r>
  <r>
    <x v="377"/>
    <s v="Regular"/>
    <n v="9356887048750"/>
    <x v="19"/>
    <n v="6"/>
    <n v="50.94"/>
    <n v="0"/>
    <n v="0"/>
    <n v="0"/>
    <n v="50.94"/>
    <n v="5.16"/>
    <n v="56.1"/>
    <n v="6"/>
  </r>
  <r>
    <x v="378"/>
    <s v="Regular"/>
    <n v="9356887095754"/>
    <x v="19"/>
    <n v="1"/>
    <n v="8.49"/>
    <n v="0"/>
    <n v="0"/>
    <n v="0"/>
    <n v="8.49"/>
    <n v="0.86"/>
    <n v="9.35"/>
    <n v="1"/>
  </r>
  <r>
    <x v="379"/>
    <s v="Regular"/>
    <n v="9356887072755"/>
    <x v="19"/>
    <n v="4"/>
    <n v="33.96"/>
    <n v="0"/>
    <n v="0"/>
    <n v="0"/>
    <n v="33.96"/>
    <n v="3.44"/>
    <n v="37.4"/>
    <n v="4"/>
  </r>
  <r>
    <x v="380"/>
    <s v="Regular"/>
    <n v="9359663000102"/>
    <x v="19"/>
    <n v="2"/>
    <n v="11.9"/>
    <n v="0"/>
    <n v="0"/>
    <n v="0"/>
    <n v="11.9"/>
    <n v="1.2"/>
    <n v="13.1"/>
    <n v="2"/>
  </r>
  <r>
    <x v="381"/>
    <s v="Regular"/>
    <n v="9359663000119"/>
    <x v="19"/>
    <n v="4"/>
    <n v="23.8"/>
    <n v="0"/>
    <n v="0"/>
    <n v="0"/>
    <n v="23.8"/>
    <n v="2.4"/>
    <n v="26.2"/>
    <n v="4"/>
  </r>
  <r>
    <x v="382"/>
    <s v="Regular"/>
    <n v="9369999341770"/>
    <x v="19"/>
    <n v="7"/>
    <n v="42"/>
    <n v="0"/>
    <n v="0"/>
    <n v="-0.64"/>
    <n v="41.36"/>
    <n v="4.2"/>
    <n v="45.56"/>
    <n v="7"/>
  </r>
  <r>
    <x v="383"/>
    <s v="Regular"/>
    <n v="9369998265565"/>
    <x v="19"/>
    <n v="5"/>
    <n v="30.65"/>
    <n v="0"/>
    <n v="0"/>
    <n v="0"/>
    <n v="30.65"/>
    <n v="3.1"/>
    <n v="33.75"/>
    <n v="5"/>
  </r>
  <r>
    <x v="384"/>
    <s v="Regular"/>
    <n v="9369998203819"/>
    <x v="19"/>
    <n v="7"/>
    <n v="42.91"/>
    <n v="0"/>
    <n v="0"/>
    <n v="0"/>
    <n v="42.91"/>
    <n v="4.34"/>
    <n v="47.25"/>
    <n v="7"/>
  </r>
  <r>
    <x v="385"/>
    <s v="Regular"/>
    <n v="9309001147037"/>
    <x v="19"/>
    <n v="4"/>
    <n v="24.52"/>
    <n v="0"/>
    <n v="0"/>
    <n v="0"/>
    <n v="24.52"/>
    <n v="2.48"/>
    <n v="27"/>
    <n v="4"/>
  </r>
  <r>
    <x v="386"/>
    <s v="Regular"/>
    <n v="9369998348640"/>
    <x v="19"/>
    <n v="5"/>
    <n v="30.65"/>
    <n v="0"/>
    <n v="0"/>
    <n v="0"/>
    <n v="30.65"/>
    <n v="3.1"/>
    <n v="33.75"/>
    <n v="5"/>
  </r>
  <r>
    <x v="387"/>
    <s v="Regular"/>
    <n v="9359084000156"/>
    <x v="19"/>
    <n v="1"/>
    <n v="3.72"/>
    <n v="0"/>
    <n v="0"/>
    <n v="0"/>
    <n v="3.72"/>
    <n v="0.38"/>
    <n v="4.0999999999999996"/>
    <n v="1"/>
  </r>
  <r>
    <x v="388"/>
    <s v="Regular"/>
    <n v="9359084000170"/>
    <x v="19"/>
    <n v="4"/>
    <n v="14.88"/>
    <n v="0"/>
    <n v="0"/>
    <n v="0"/>
    <n v="14.88"/>
    <n v="1.52"/>
    <n v="16.399999999999999"/>
    <n v="4"/>
  </r>
  <r>
    <x v="389"/>
    <s v="Regular"/>
    <n v="9359084000385"/>
    <x v="19"/>
    <n v="7"/>
    <n v="28.62"/>
    <n v="0"/>
    <n v="0"/>
    <n v="0"/>
    <n v="28.62"/>
    <n v="2.88"/>
    <n v="31.5"/>
    <n v="7"/>
  </r>
  <r>
    <x v="390"/>
    <s v="Regular"/>
    <n v="9369900016568"/>
    <x v="19"/>
    <n v="1"/>
    <n v="40.799999999999997"/>
    <n v="0"/>
    <n v="0"/>
    <n v="0"/>
    <n v="40.799999999999997"/>
    <n v="0"/>
    <n v="40.799999999999997"/>
    <n v="1"/>
  </r>
  <r>
    <x v="391"/>
    <s v="Regular"/>
    <n v="725806350899"/>
    <x v="19"/>
    <n v="1"/>
    <n v="6.02"/>
    <n v="0"/>
    <n v="0"/>
    <n v="-1.3"/>
    <n v="4.72"/>
    <n v="0.48"/>
    <n v="5.2"/>
    <n v="1"/>
  </r>
  <r>
    <x v="392"/>
    <s v="Regular"/>
    <n v="754523531380"/>
    <x v="19"/>
    <n v="2"/>
    <n v="11.9"/>
    <n v="0"/>
    <n v="0"/>
    <n v="0"/>
    <n v="11.9"/>
    <n v="0"/>
    <n v="11.9"/>
    <n v="2"/>
  </r>
  <r>
    <x v="393"/>
    <s v="Regular"/>
    <n v="9349622000281"/>
    <x v="19"/>
    <n v="4"/>
    <n v="40.6"/>
    <n v="0"/>
    <n v="0"/>
    <n v="-40.6"/>
    <n v="0"/>
    <n v="0"/>
    <n v="0"/>
    <n v="4"/>
  </r>
  <r>
    <x v="394"/>
    <s v="Regular"/>
    <n v="5060847270009"/>
    <x v="19"/>
    <n v="1"/>
    <n v="12.92"/>
    <n v="0"/>
    <n v="0"/>
    <n v="-2.7"/>
    <n v="10.220000000000001"/>
    <n v="1.03"/>
    <n v="11.25"/>
    <n v="1"/>
  </r>
  <r>
    <x v="395"/>
    <s v="Regular"/>
    <n v="9421901214302"/>
    <x v="19"/>
    <n v="6"/>
    <n v="41.4"/>
    <n v="0"/>
    <n v="0"/>
    <n v="0"/>
    <n v="41.4"/>
    <n v="0"/>
    <n v="41.4"/>
    <n v="6"/>
  </r>
  <r>
    <x v="396"/>
    <s v="Regular"/>
    <n v="9421901214128"/>
    <x v="19"/>
    <n v="3"/>
    <n v="17.399999999999999"/>
    <n v="0"/>
    <n v="0"/>
    <n v="0"/>
    <n v="17.399999999999999"/>
    <n v="0"/>
    <n v="17.399999999999999"/>
    <n v="3"/>
  </r>
  <r>
    <x v="397"/>
    <s v="Regular"/>
    <n v="9421901214401"/>
    <x v="19"/>
    <n v="5"/>
    <n v="34.5"/>
    <n v="0"/>
    <n v="0"/>
    <n v="0"/>
    <n v="34.5"/>
    <n v="0"/>
    <n v="34.5"/>
    <n v="5"/>
  </r>
  <r>
    <x v="398"/>
    <s v="Regular"/>
    <n v="9421901214326"/>
    <x v="19"/>
    <n v="7"/>
    <n v="48.3"/>
    <n v="0"/>
    <n v="0"/>
    <n v="-1.38"/>
    <n v="46.92"/>
    <n v="0"/>
    <n v="46.92"/>
    <n v="7"/>
  </r>
  <r>
    <x v="399"/>
    <s v="Regular"/>
    <n v="9421901214210"/>
    <x v="19"/>
    <n v="5"/>
    <n v="22.5"/>
    <n v="0"/>
    <n v="0"/>
    <n v="0"/>
    <n v="22.5"/>
    <n v="2.25"/>
    <n v="24.75"/>
    <n v="5"/>
  </r>
  <r>
    <x v="400"/>
    <s v="Regular"/>
    <n v="9421901214203"/>
    <x v="19"/>
    <n v="3"/>
    <n v="15.81"/>
    <n v="0"/>
    <n v="0"/>
    <n v="0"/>
    <n v="15.81"/>
    <n v="1.59"/>
    <n v="17.399999999999999"/>
    <n v="3"/>
  </r>
  <r>
    <x v="401"/>
    <s v="Regular"/>
    <n v="9353626000130"/>
    <x v="19"/>
    <n v="11"/>
    <n v="72.05"/>
    <n v="0"/>
    <n v="0"/>
    <n v="0"/>
    <n v="72.05"/>
    <n v="0"/>
    <n v="72.05"/>
    <n v="11"/>
  </r>
  <r>
    <x v="402"/>
    <s v="Regular"/>
    <n v="9353626000178"/>
    <x v="19"/>
    <n v="4"/>
    <n v="15.6"/>
    <n v="0"/>
    <n v="0"/>
    <n v="0"/>
    <n v="15.6"/>
    <n v="0"/>
    <n v="15.6"/>
    <n v="4"/>
  </r>
  <r>
    <x v="403"/>
    <s v="Regular"/>
    <n v="9353626000192"/>
    <x v="19"/>
    <n v="5"/>
    <n v="19.5"/>
    <n v="0"/>
    <n v="0"/>
    <n v="0"/>
    <n v="19.5"/>
    <n v="0"/>
    <n v="19.5"/>
    <n v="5"/>
  </r>
  <r>
    <x v="404"/>
    <s v="Regular"/>
    <n v="9353626000215"/>
    <x v="19"/>
    <n v="6"/>
    <n v="23.4"/>
    <n v="0"/>
    <n v="0"/>
    <n v="0"/>
    <n v="23.4"/>
    <n v="0"/>
    <n v="23.4"/>
    <n v="6"/>
  </r>
  <r>
    <x v="405"/>
    <s v="Regular"/>
    <n v="9353626000260"/>
    <x v="19"/>
    <n v="6"/>
    <n v="23.4"/>
    <n v="0"/>
    <n v="0"/>
    <n v="0"/>
    <n v="23.4"/>
    <n v="0"/>
    <n v="23.4"/>
    <n v="6"/>
  </r>
  <r>
    <x v="406"/>
    <s v="Regular"/>
    <n v="769807248250"/>
    <x v="19"/>
    <n v="1"/>
    <n v="3.72"/>
    <n v="-1"/>
    <n v="-3.72"/>
    <n v="0"/>
    <n v="0"/>
    <n v="0"/>
    <n v="0"/>
    <n v="1"/>
  </r>
  <r>
    <x v="407"/>
    <s v="Regular"/>
    <n v="734027989214"/>
    <x v="19"/>
    <n v="6"/>
    <n v="32.04"/>
    <n v="0"/>
    <n v="0"/>
    <n v="0"/>
    <n v="32.04"/>
    <n v="3.26"/>
    <n v="35.299999999999997"/>
    <n v="6"/>
  </r>
  <r>
    <x v="408"/>
    <s v="Regular"/>
    <n v="734027989221"/>
    <x v="19"/>
    <n v="5"/>
    <n v="26.96"/>
    <n v="0"/>
    <n v="0"/>
    <n v="-0.32"/>
    <n v="26.64"/>
    <n v="2.69"/>
    <n v="29.33"/>
    <n v="5"/>
  </r>
  <r>
    <x v="409"/>
    <s v="Regular"/>
    <n v="8851013764494"/>
    <x v="19"/>
    <n v="12"/>
    <n v="67.8"/>
    <n v="0"/>
    <n v="0"/>
    <n v="0"/>
    <n v="67.8"/>
    <n v="0"/>
    <n v="67.8"/>
    <n v="12"/>
  </r>
  <r>
    <x v="410"/>
    <s v="Regular"/>
    <n v="140347082540"/>
    <x v="19"/>
    <n v="1"/>
    <n v="7.36"/>
    <n v="0"/>
    <n v="0"/>
    <n v="0"/>
    <n v="7.36"/>
    <n v="0.74"/>
    <n v="8.1"/>
    <n v="1"/>
  </r>
  <r>
    <x v="411"/>
    <s v="Regular"/>
    <n v="9369998504893"/>
    <x v="19"/>
    <n v="3"/>
    <n v="18.170000000000002"/>
    <n v="0"/>
    <n v="0"/>
    <n v="-5"/>
    <n v="13.17"/>
    <n v="1.33"/>
    <n v="14.5"/>
    <n v="3"/>
  </r>
  <r>
    <x v="412"/>
    <s v="Regular"/>
    <n v="9369998352142"/>
    <x v="19"/>
    <n v="1"/>
    <n v="5.91"/>
    <n v="0"/>
    <n v="0"/>
    <n v="0"/>
    <n v="5.91"/>
    <n v="0.59"/>
    <n v="6.5"/>
    <n v="1"/>
  </r>
  <r>
    <x v="413"/>
    <s v="Regular"/>
    <n v="9369900080750"/>
    <x v="19"/>
    <n v="4"/>
    <n v="23.74"/>
    <n v="0"/>
    <n v="0"/>
    <n v="-1.45"/>
    <n v="22.29"/>
    <n v="2.2599999999999998"/>
    <n v="24.55"/>
    <n v="4"/>
  </r>
  <r>
    <x v="414"/>
    <s v="Regular"/>
    <n v="2099000"/>
    <x v="19"/>
    <n v="2"/>
    <n v="12.04"/>
    <n v="0"/>
    <n v="0"/>
    <n v="-2.6"/>
    <n v="9.44"/>
    <n v="0.96"/>
    <n v="10.4"/>
    <n v="2"/>
  </r>
  <r>
    <x v="415"/>
    <s v="Regular"/>
    <n v="80687433261"/>
    <x v="20"/>
    <n v="5"/>
    <n v="94"/>
    <n v="0"/>
    <n v="0"/>
    <n v="0"/>
    <n v="94"/>
    <n v="0"/>
    <n v="94"/>
    <n v="5"/>
  </r>
  <r>
    <x v="416"/>
    <s v="Regular"/>
    <n v="9349663002015"/>
    <x v="20"/>
    <n v="8"/>
    <n v="153.6"/>
    <n v="0"/>
    <n v="0"/>
    <n v="-2.41"/>
    <n v="151.19"/>
    <n v="0"/>
    <n v="151.19"/>
    <n v="8"/>
  </r>
  <r>
    <x v="417"/>
    <s v="Regular"/>
    <n v="659359585524"/>
    <x v="20"/>
    <n v="14"/>
    <n v="221.9"/>
    <n v="0"/>
    <n v="0"/>
    <n v="-3.17"/>
    <n v="218.73"/>
    <n v="0"/>
    <n v="218.73"/>
    <n v="14"/>
  </r>
  <r>
    <x v="418"/>
    <s v="Regular"/>
    <n v="80687508075"/>
    <x v="20"/>
    <n v="3"/>
    <n v="50.85"/>
    <n v="0"/>
    <n v="0"/>
    <n v="0"/>
    <n v="50.85"/>
    <n v="0"/>
    <n v="50.85"/>
    <n v="3"/>
  </r>
  <r>
    <x v="419"/>
    <s v="Regular"/>
    <n v="9310625012120"/>
    <x v="20"/>
    <n v="1"/>
    <n v="12.5"/>
    <n v="0"/>
    <n v="0"/>
    <n v="0"/>
    <n v="12.5"/>
    <n v="0"/>
    <n v="12.5"/>
    <n v="1"/>
  </r>
  <r>
    <x v="420"/>
    <s v="Regular"/>
    <n v="806809023406"/>
    <x v="20"/>
    <n v="3"/>
    <n v="50.25"/>
    <n v="0"/>
    <n v="0"/>
    <n v="0"/>
    <n v="50.25"/>
    <n v="0"/>
    <n v="50.25"/>
    <n v="3"/>
  </r>
  <r>
    <x v="421"/>
    <s v="Regular"/>
    <n v="9347852000224"/>
    <x v="21"/>
    <n v="1"/>
    <n v="5.22"/>
    <n v="0"/>
    <n v="0"/>
    <n v="0"/>
    <n v="5.22"/>
    <n v="0.53"/>
    <n v="5.75"/>
    <n v="1"/>
  </r>
  <r>
    <x v="422"/>
    <s v="Regular"/>
    <n v="9349125001181"/>
    <x v="21"/>
    <n v="3"/>
    <n v="12.81"/>
    <n v="0"/>
    <n v="0"/>
    <n v="0"/>
    <n v="12.81"/>
    <n v="1.29"/>
    <n v="14.1"/>
    <n v="3"/>
  </r>
  <r>
    <x v="423"/>
    <s v="Regular"/>
    <n v="9349125001228"/>
    <x v="21"/>
    <n v="4"/>
    <n v="17.079999999999998"/>
    <n v="0"/>
    <n v="0"/>
    <n v="0"/>
    <n v="17.079999999999998"/>
    <n v="1.72"/>
    <n v="18.8"/>
    <n v="4"/>
  </r>
  <r>
    <x v="424"/>
    <s v="Regular"/>
    <n v="9369999926922"/>
    <x v="21"/>
    <n v="2"/>
    <n v="23.76"/>
    <n v="0"/>
    <n v="0"/>
    <n v="-2.59"/>
    <n v="21.17"/>
    <n v="2.14"/>
    <n v="23.31"/>
    <n v="2"/>
  </r>
  <r>
    <x v="425"/>
    <s v="Regular"/>
    <n v="9369998268191"/>
    <x v="21"/>
    <n v="1"/>
    <n v="12"/>
    <n v="0"/>
    <n v="0"/>
    <n v="-2.59"/>
    <n v="9.41"/>
    <n v="0.95"/>
    <n v="10.36"/>
    <n v="1"/>
  </r>
  <r>
    <x v="426"/>
    <s v="Regular"/>
    <n v="9369900012157"/>
    <x v="21"/>
    <n v="2"/>
    <n v="23.52"/>
    <n v="0"/>
    <n v="0"/>
    <n v="0"/>
    <n v="23.52"/>
    <n v="2.38"/>
    <n v="25.9"/>
    <n v="2"/>
  </r>
  <r>
    <x v="427"/>
    <s v="Regular"/>
    <n v="9357204000017"/>
    <x v="21"/>
    <n v="1"/>
    <n v="7.1"/>
    <n v="0"/>
    <n v="0"/>
    <n v="0"/>
    <n v="7.1"/>
    <n v="0"/>
    <n v="7.1"/>
    <n v="1"/>
  </r>
  <r>
    <x v="428"/>
    <s v="Regular"/>
    <n v="9369998020959"/>
    <x v="21"/>
    <n v="1"/>
    <n v="5.9"/>
    <n v="0"/>
    <n v="0"/>
    <n v="0"/>
    <n v="5.9"/>
    <n v="0.6"/>
    <n v="6.5"/>
    <n v="1"/>
  </r>
  <r>
    <x v="429"/>
    <s v="Regular"/>
    <n v="9357204000031"/>
    <x v="21"/>
    <n v="1"/>
    <n v="7.1"/>
    <n v="0"/>
    <n v="0"/>
    <n v="0"/>
    <n v="7.1"/>
    <n v="0"/>
    <n v="7.1"/>
    <n v="1"/>
  </r>
  <r>
    <x v="430"/>
    <s v="Regular"/>
    <n v="9357204000901"/>
    <x v="21"/>
    <n v="2"/>
    <n v="11.54"/>
    <n v="0"/>
    <n v="0"/>
    <n v="0"/>
    <n v="11.54"/>
    <n v="1.1599999999999999"/>
    <n v="12.7"/>
    <n v="2"/>
  </r>
  <r>
    <x v="431"/>
    <s v="Regular"/>
    <n v="9357204000611"/>
    <x v="21"/>
    <n v="2"/>
    <n v="11.54"/>
    <n v="0"/>
    <n v="0"/>
    <n v="0"/>
    <n v="11.54"/>
    <n v="1.1599999999999999"/>
    <n v="12.7"/>
    <n v="2"/>
  </r>
  <r>
    <x v="432"/>
    <s v="Regular"/>
    <n v="9357204000604"/>
    <x v="21"/>
    <n v="6"/>
    <n v="34.61"/>
    <n v="0"/>
    <n v="0"/>
    <n v="0"/>
    <n v="34.61"/>
    <n v="3.49"/>
    <n v="38.1"/>
    <n v="6"/>
  </r>
  <r>
    <x v="433"/>
    <s v="Regular"/>
    <n v="9357204000208"/>
    <x v="21"/>
    <n v="1"/>
    <n v="6.63"/>
    <n v="0"/>
    <n v="0"/>
    <n v="0"/>
    <n v="6.63"/>
    <n v="0.67"/>
    <n v="7.3"/>
    <n v="1"/>
  </r>
  <r>
    <x v="434"/>
    <s v="Regular"/>
    <n v="9369998119127"/>
    <x v="21"/>
    <n v="7"/>
    <n v="41.3"/>
    <n v="0"/>
    <n v="0"/>
    <n v="0"/>
    <n v="41.3"/>
    <n v="4.2"/>
    <n v="45.5"/>
    <n v="7"/>
  </r>
  <r>
    <x v="435"/>
    <s v="Regular"/>
    <n v="9357204000000"/>
    <x v="21"/>
    <n v="10"/>
    <n v="72.5"/>
    <n v="0"/>
    <n v="0"/>
    <n v="-3"/>
    <n v="69.5"/>
    <n v="0"/>
    <n v="69.5"/>
    <n v="10"/>
  </r>
  <r>
    <x v="436"/>
    <s v="Regular"/>
    <n v="9353707000998"/>
    <x v="21"/>
    <n v="1"/>
    <n v="5.27"/>
    <n v="0"/>
    <n v="0"/>
    <n v="0"/>
    <n v="5.27"/>
    <n v="0.53"/>
    <n v="5.8"/>
    <n v="1"/>
  </r>
  <r>
    <x v="437"/>
    <s v="Regular"/>
    <n v="9353707001001"/>
    <x v="21"/>
    <n v="2"/>
    <n v="9"/>
    <n v="0"/>
    <n v="0"/>
    <n v="-0.13"/>
    <n v="8.8699999999999992"/>
    <n v="0.9"/>
    <n v="9.77"/>
    <n v="2"/>
  </r>
  <r>
    <x v="438"/>
    <s v="Regular"/>
    <n v="9353707000363"/>
    <x v="21"/>
    <n v="2"/>
    <n v="9"/>
    <n v="0"/>
    <n v="0"/>
    <n v="-0.11"/>
    <n v="8.89"/>
    <n v="0.9"/>
    <n v="9.7899999999999991"/>
    <n v="2"/>
  </r>
  <r>
    <x v="439"/>
    <s v="Regular"/>
    <n v="9369998407569"/>
    <x v="21"/>
    <n v="1"/>
    <n v="4.5"/>
    <n v="0"/>
    <n v="0"/>
    <n v="0"/>
    <n v="4.5"/>
    <n v="0.45"/>
    <n v="4.95"/>
    <n v="1"/>
  </r>
  <r>
    <x v="440"/>
    <s v="Regular"/>
    <n v="9353707000301"/>
    <x v="21"/>
    <n v="1"/>
    <n v="4.51"/>
    <n v="0"/>
    <n v="0"/>
    <n v="-0.13"/>
    <n v="4.38"/>
    <n v="0.44"/>
    <n v="4.82"/>
    <n v="1"/>
  </r>
  <r>
    <x v="441"/>
    <s v="Regular"/>
    <n v="9353707000288"/>
    <x v="21"/>
    <n v="4"/>
    <n v="21.32"/>
    <n v="0"/>
    <n v="0"/>
    <n v="-4.5999999999999996"/>
    <n v="16.72"/>
    <n v="1.68"/>
    <n v="18.399999999999999"/>
    <n v="4"/>
  </r>
  <r>
    <x v="442"/>
    <s v="Regular"/>
    <n v="9353707000349"/>
    <x v="21"/>
    <n v="3"/>
    <n v="15.99"/>
    <n v="0"/>
    <n v="0"/>
    <n v="-3.45"/>
    <n v="12.54"/>
    <n v="1.26"/>
    <n v="13.8"/>
    <n v="3"/>
  </r>
  <r>
    <x v="443"/>
    <s v="Regular"/>
    <n v="9353707000356"/>
    <x v="21"/>
    <n v="2"/>
    <n v="10.66"/>
    <n v="0"/>
    <n v="0"/>
    <n v="-2.2999999999999998"/>
    <n v="8.36"/>
    <n v="0.84"/>
    <n v="9.1999999999999993"/>
    <n v="2"/>
  </r>
  <r>
    <x v="444"/>
    <s v="Regular"/>
    <n v="9353707000981"/>
    <x v="21"/>
    <n v="1"/>
    <n v="5.32"/>
    <n v="0"/>
    <n v="0"/>
    <n v="-1.1499999999999999"/>
    <n v="4.17"/>
    <n v="0.43"/>
    <n v="4.5999999999999996"/>
    <n v="1"/>
  </r>
  <r>
    <x v="445"/>
    <s v="Regular"/>
    <n v="93559928"/>
    <x v="21"/>
    <n v="6"/>
    <n v="25.8"/>
    <n v="0"/>
    <n v="0"/>
    <n v="-0.48"/>
    <n v="25.32"/>
    <n v="0"/>
    <n v="25.32"/>
    <n v="6"/>
  </r>
  <r>
    <x v="446"/>
    <s v="Regular"/>
    <n v="93559959"/>
    <x v="21"/>
    <n v="4"/>
    <n v="17.2"/>
    <n v="0"/>
    <n v="0"/>
    <n v="0"/>
    <n v="17.2"/>
    <n v="0"/>
    <n v="17.2"/>
    <n v="4"/>
  </r>
  <r>
    <x v="447"/>
    <s v="Regular"/>
    <n v="9357841000470"/>
    <x v="21"/>
    <n v="1"/>
    <n v="3.45"/>
    <n v="0"/>
    <n v="0"/>
    <n v="0"/>
    <n v="3.45"/>
    <n v="0.35"/>
    <n v="3.8"/>
    <n v="1"/>
  </r>
  <r>
    <x v="448"/>
    <s v="Regular"/>
    <n v="9351209004728"/>
    <x v="21"/>
    <n v="1"/>
    <n v="5.04"/>
    <n v="0"/>
    <n v="0"/>
    <n v="0"/>
    <n v="5.04"/>
    <n v="0.51"/>
    <n v="5.55"/>
    <n v="1"/>
  </r>
  <r>
    <x v="449"/>
    <s v="Regular"/>
    <n v="9344081000926"/>
    <x v="21"/>
    <n v="1"/>
    <n v="6.13"/>
    <n v="0"/>
    <n v="0"/>
    <n v="0"/>
    <n v="6.13"/>
    <n v="0.62"/>
    <n v="6.75"/>
    <n v="1"/>
  </r>
  <r>
    <x v="450"/>
    <s v="Regular"/>
    <n v="661646992656"/>
    <x v="21"/>
    <n v="2"/>
    <n v="12.62"/>
    <n v="0"/>
    <n v="0"/>
    <n v="0"/>
    <n v="12.62"/>
    <n v="1.28"/>
    <n v="13.9"/>
    <n v="2"/>
  </r>
  <r>
    <x v="451"/>
    <s v="Regular"/>
    <n v="661646992519"/>
    <x v="21"/>
    <n v="3"/>
    <n v="18.93"/>
    <n v="0"/>
    <n v="0"/>
    <n v="0"/>
    <n v="18.93"/>
    <n v="1.92"/>
    <n v="20.85"/>
    <n v="3"/>
  </r>
  <r>
    <x v="452"/>
    <s v="Regular"/>
    <n v="661646992502"/>
    <x v="21"/>
    <n v="4"/>
    <n v="25.24"/>
    <n v="0"/>
    <n v="0"/>
    <n v="0"/>
    <n v="25.24"/>
    <n v="2.56"/>
    <n v="27.8"/>
    <n v="4"/>
  </r>
  <r>
    <x v="453"/>
    <s v="Regular"/>
    <n v="9346190000385"/>
    <x v="21"/>
    <n v="1"/>
    <n v="5.09"/>
    <n v="0"/>
    <n v="0"/>
    <n v="0"/>
    <n v="5.09"/>
    <n v="0.51"/>
    <n v="5.6"/>
    <n v="1"/>
  </r>
  <r>
    <x v="454"/>
    <s v="Regular"/>
    <n v="9346190000392"/>
    <x v="21"/>
    <n v="3"/>
    <n v="15.27"/>
    <n v="0"/>
    <n v="0"/>
    <n v="0"/>
    <n v="15.27"/>
    <n v="1.53"/>
    <n v="16.8"/>
    <n v="3"/>
  </r>
  <r>
    <x v="455"/>
    <s v="Regular"/>
    <n v="9346190000415"/>
    <x v="21"/>
    <n v="1"/>
    <n v="5.09"/>
    <n v="0"/>
    <n v="0"/>
    <n v="0"/>
    <n v="5.09"/>
    <n v="0.51"/>
    <n v="5.6"/>
    <n v="1"/>
  </r>
  <r>
    <x v="456"/>
    <s v="Regular"/>
    <n v="9346190001184"/>
    <x v="21"/>
    <n v="1"/>
    <n v="5.41"/>
    <n v="0"/>
    <n v="0"/>
    <n v="0"/>
    <n v="5.41"/>
    <n v="0.54"/>
    <n v="5.95"/>
    <n v="1"/>
  </r>
  <r>
    <x v="457"/>
    <s v="Regular"/>
    <n v="9346190000422"/>
    <x v="21"/>
    <n v="3"/>
    <n v="16.21"/>
    <n v="0"/>
    <n v="0"/>
    <n v="0"/>
    <n v="16.21"/>
    <n v="1.64"/>
    <n v="17.850000000000001"/>
    <n v="3"/>
  </r>
  <r>
    <x v="458"/>
    <s v="Regular"/>
    <n v="9346190000514"/>
    <x v="21"/>
    <n v="2"/>
    <n v="11"/>
    <n v="0"/>
    <n v="0"/>
    <n v="-2.14"/>
    <n v="8.86"/>
    <n v="0.9"/>
    <n v="9.76"/>
    <n v="2"/>
  </r>
  <r>
    <x v="459"/>
    <s v="Regular"/>
    <n v="9346190002068"/>
    <x v="21"/>
    <n v="3"/>
    <n v="16.21"/>
    <n v="0"/>
    <n v="0"/>
    <n v="0"/>
    <n v="16.21"/>
    <n v="1.64"/>
    <n v="17.850000000000001"/>
    <n v="3"/>
  </r>
  <r>
    <x v="460"/>
    <s v="Regular"/>
    <n v="9346190001634"/>
    <x v="21"/>
    <n v="1"/>
    <n v="5.4"/>
    <n v="0"/>
    <n v="0"/>
    <n v="0"/>
    <n v="5.4"/>
    <n v="0.55000000000000004"/>
    <n v="5.95"/>
    <n v="1"/>
  </r>
  <r>
    <x v="461"/>
    <s v="Regular"/>
    <n v="9346190000552"/>
    <x v="21"/>
    <n v="1"/>
    <n v="5.4"/>
    <n v="0"/>
    <n v="0"/>
    <n v="0"/>
    <n v="5.4"/>
    <n v="0.55000000000000004"/>
    <n v="5.95"/>
    <n v="1"/>
  </r>
  <r>
    <x v="462"/>
    <s v="Regular"/>
    <n v="9346190000644"/>
    <x v="21"/>
    <n v="1"/>
    <n v="5.4"/>
    <n v="0"/>
    <n v="0"/>
    <n v="0"/>
    <n v="5.4"/>
    <n v="0.55000000000000004"/>
    <n v="5.95"/>
    <n v="1"/>
  </r>
  <r>
    <x v="463"/>
    <s v="Regular"/>
    <n v="9346190000460"/>
    <x v="21"/>
    <n v="1"/>
    <n v="5.41"/>
    <n v="0"/>
    <n v="0"/>
    <n v="0"/>
    <n v="5.41"/>
    <n v="0.54"/>
    <n v="5.95"/>
    <n v="1"/>
  </r>
  <r>
    <x v="464"/>
    <s v="Regular"/>
    <n v="9346190000361"/>
    <x v="21"/>
    <n v="2"/>
    <n v="10.8"/>
    <n v="0"/>
    <n v="0"/>
    <n v="0"/>
    <n v="10.8"/>
    <n v="1.1000000000000001"/>
    <n v="11.9"/>
    <n v="2"/>
  </r>
  <r>
    <x v="465"/>
    <s v="Regular"/>
    <n v="9309001434007"/>
    <x v="21"/>
    <n v="1"/>
    <n v="5.22"/>
    <n v="0"/>
    <n v="0"/>
    <n v="0"/>
    <n v="5.22"/>
    <n v="0.53"/>
    <n v="5.75"/>
    <n v="1"/>
  </r>
  <r>
    <x v="466"/>
    <s v="Regular"/>
    <n v="9309001434083"/>
    <x v="21"/>
    <n v="3"/>
    <n v="61.29"/>
    <n v="0"/>
    <n v="0"/>
    <n v="0"/>
    <n v="61.29"/>
    <n v="6.21"/>
    <n v="67.5"/>
    <n v="3"/>
  </r>
  <r>
    <x v="467"/>
    <s v="Regular"/>
    <n v="9309001434168"/>
    <x v="21"/>
    <n v="1"/>
    <n v="5.22"/>
    <n v="0"/>
    <n v="0"/>
    <n v="0"/>
    <n v="5.22"/>
    <n v="0.53"/>
    <n v="5.75"/>
    <n v="1"/>
  </r>
  <r>
    <x v="468"/>
    <s v="Regular"/>
    <n v="9309001434076"/>
    <x v="21"/>
    <n v="2"/>
    <n v="40.86"/>
    <n v="0"/>
    <n v="0"/>
    <n v="0"/>
    <n v="40.86"/>
    <n v="4.1399999999999997"/>
    <n v="45"/>
    <n v="2"/>
  </r>
  <r>
    <x v="469"/>
    <s v="Regular"/>
    <n v="9309001434021"/>
    <x v="21"/>
    <n v="3"/>
    <n v="15.66"/>
    <n v="0"/>
    <n v="0"/>
    <n v="0"/>
    <n v="15.66"/>
    <n v="1.59"/>
    <n v="17.25"/>
    <n v="3"/>
  </r>
  <r>
    <x v="470"/>
    <s v="Regular"/>
    <n v="9309001434090"/>
    <x v="21"/>
    <n v="1"/>
    <n v="20.43"/>
    <n v="0"/>
    <n v="0"/>
    <n v="0"/>
    <n v="20.43"/>
    <n v="2.0699999999999998"/>
    <n v="22.5"/>
    <n v="1"/>
  </r>
  <r>
    <x v="471"/>
    <s v="Regular"/>
    <n v="9309001434205"/>
    <x v="21"/>
    <n v="1"/>
    <n v="20.43"/>
    <n v="0"/>
    <n v="0"/>
    <n v="0"/>
    <n v="20.43"/>
    <n v="2.0699999999999998"/>
    <n v="22.5"/>
    <n v="1"/>
  </r>
  <r>
    <x v="472"/>
    <s v="Regular"/>
    <n v="9309001434052"/>
    <x v="21"/>
    <n v="1"/>
    <n v="20.43"/>
    <n v="0"/>
    <n v="0"/>
    <n v="0"/>
    <n v="20.43"/>
    <n v="2.0699999999999998"/>
    <n v="22.5"/>
    <n v="1"/>
  </r>
  <r>
    <x v="473"/>
    <s v="Regular"/>
    <n v="9354444002917"/>
    <x v="21"/>
    <n v="5"/>
    <n v="26.34"/>
    <n v="0"/>
    <n v="0"/>
    <n v="0"/>
    <n v="26.34"/>
    <n v="2.66"/>
    <n v="29"/>
    <n v="5"/>
  </r>
  <r>
    <x v="474"/>
    <s v="Regular"/>
    <n v="9354444002931"/>
    <x v="21"/>
    <n v="5"/>
    <n v="26.35"/>
    <n v="0"/>
    <n v="0"/>
    <n v="0"/>
    <n v="26.35"/>
    <n v="2.65"/>
    <n v="29"/>
    <n v="5"/>
  </r>
  <r>
    <x v="475"/>
    <s v="Regular"/>
    <n v="9354444000005"/>
    <x v="21"/>
    <n v="7"/>
    <n v="36.85"/>
    <n v="0"/>
    <n v="0"/>
    <n v="0"/>
    <n v="36.85"/>
    <n v="3.75"/>
    <n v="40.6"/>
    <n v="7"/>
  </r>
  <r>
    <x v="476"/>
    <s v="Regular"/>
    <n v="9354444000036"/>
    <x v="21"/>
    <n v="9"/>
    <n v="47.41"/>
    <n v="0"/>
    <n v="0"/>
    <n v="0"/>
    <n v="47.41"/>
    <n v="4.79"/>
    <n v="52.2"/>
    <n v="9"/>
  </r>
  <r>
    <x v="477"/>
    <s v="Regular"/>
    <n v="9354444000920"/>
    <x v="21"/>
    <n v="10"/>
    <n v="52.79"/>
    <n v="0"/>
    <n v="0"/>
    <n v="-1.1599999999999999"/>
    <n v="51.63"/>
    <n v="5.21"/>
    <n v="56.84"/>
    <n v="10"/>
  </r>
  <r>
    <x v="478"/>
    <s v="Regular"/>
    <n v="837654485880"/>
    <x v="22"/>
    <n v="7"/>
    <n v="103.25"/>
    <n v="0"/>
    <n v="0"/>
    <n v="-0.38"/>
    <n v="102.87"/>
    <n v="0"/>
    <n v="102.87"/>
    <n v="7"/>
  </r>
  <r>
    <x v="479"/>
    <s v="Regular"/>
    <n v="9316131607225"/>
    <x v="22"/>
    <n v="1"/>
    <n v="6.4"/>
    <n v="0"/>
    <n v="0"/>
    <n v="0"/>
    <n v="6.4"/>
    <n v="0"/>
    <n v="6.4"/>
    <n v="1"/>
  </r>
  <r>
    <x v="480"/>
    <s v="Regular"/>
    <n v="9341994000548"/>
    <x v="22"/>
    <n v="2"/>
    <n v="16"/>
    <n v="0"/>
    <n v="0"/>
    <n v="-0.2"/>
    <n v="15.8"/>
    <n v="0"/>
    <n v="15.8"/>
    <n v="2"/>
  </r>
  <r>
    <x v="481"/>
    <s v="Regular"/>
    <n v="9312336048634"/>
    <x v="22"/>
    <n v="3"/>
    <n v="12.27"/>
    <n v="0"/>
    <n v="0"/>
    <n v="0"/>
    <n v="12.27"/>
    <n v="1.23"/>
    <n v="13.5"/>
    <n v="3"/>
  </r>
  <r>
    <x v="482"/>
    <s v="Regular"/>
    <n v="9312336048610"/>
    <x v="22"/>
    <n v="3"/>
    <n v="12.35"/>
    <n v="0"/>
    <n v="0"/>
    <n v="-0.9"/>
    <n v="11.45"/>
    <n v="1.1499999999999999"/>
    <n v="12.6"/>
    <n v="3"/>
  </r>
  <r>
    <x v="483"/>
    <s v="Regular"/>
    <n v="9312336048627"/>
    <x v="22"/>
    <n v="5"/>
    <n v="20.53"/>
    <n v="0"/>
    <n v="0"/>
    <n v="-0.9"/>
    <n v="19.63"/>
    <n v="1.97"/>
    <n v="21.6"/>
    <n v="5"/>
  </r>
  <r>
    <x v="484"/>
    <s v="Regular"/>
    <n v="9350109000373"/>
    <x v="22"/>
    <n v="3"/>
    <n v="19.57"/>
    <n v="0"/>
    <n v="0"/>
    <n v="-6.95"/>
    <n v="12.62"/>
    <n v="1.28"/>
    <n v="13.9"/>
    <n v="3"/>
  </r>
  <r>
    <x v="485"/>
    <s v="Regular"/>
    <n v="9350109000397"/>
    <x v="22"/>
    <n v="9"/>
    <n v="56.82"/>
    <n v="0"/>
    <n v="0"/>
    <n v="0"/>
    <n v="56.82"/>
    <n v="5.73"/>
    <n v="62.55"/>
    <n v="9"/>
  </r>
  <r>
    <x v="486"/>
    <s v="Regular"/>
    <n v="9415748013006"/>
    <x v="22"/>
    <n v="1"/>
    <n v="6.35"/>
    <n v="0"/>
    <n v="0"/>
    <n v="0"/>
    <n v="6.35"/>
    <n v="0"/>
    <n v="6.35"/>
    <n v="1"/>
  </r>
  <r>
    <x v="487"/>
    <s v="Regular"/>
    <n v="9350559000152"/>
    <x v="22"/>
    <n v="1"/>
    <n v="11.6"/>
    <n v="0"/>
    <n v="0"/>
    <n v="0"/>
    <n v="11.6"/>
    <n v="0"/>
    <n v="11.6"/>
    <n v="1"/>
  </r>
  <r>
    <x v="488"/>
    <s v="Regular"/>
    <n v="9350559000220"/>
    <x v="22"/>
    <n v="1"/>
    <n v="11.6"/>
    <n v="0"/>
    <n v="0"/>
    <n v="0"/>
    <n v="11.6"/>
    <n v="0"/>
    <n v="11.6"/>
    <n v="1"/>
  </r>
  <r>
    <x v="489"/>
    <s v="Regular"/>
    <n v="9350559000251"/>
    <x v="22"/>
    <n v="1"/>
    <n v="11.6"/>
    <n v="0"/>
    <n v="0"/>
    <n v="0"/>
    <n v="11.6"/>
    <n v="0"/>
    <n v="11.6"/>
    <n v="1"/>
  </r>
  <r>
    <x v="490"/>
    <s v="Regular"/>
    <n v="9350559000268"/>
    <x v="22"/>
    <n v="4"/>
    <n v="51.2"/>
    <n v="0"/>
    <n v="0"/>
    <n v="0"/>
    <n v="51.2"/>
    <n v="0"/>
    <n v="51.2"/>
    <n v="4"/>
  </r>
  <r>
    <x v="491"/>
    <s v="Regular"/>
    <n v="9347964000129"/>
    <x v="22"/>
    <n v="2"/>
    <n v="27.2"/>
    <n v="0"/>
    <n v="0"/>
    <n v="0"/>
    <n v="27.2"/>
    <n v="0"/>
    <n v="27.2"/>
    <n v="2"/>
  </r>
  <r>
    <x v="492"/>
    <s v="Regular"/>
    <n v="9369999306366"/>
    <x v="22"/>
    <n v="4"/>
    <n v="20.350000000000001"/>
    <n v="0"/>
    <n v="0"/>
    <n v="0"/>
    <n v="20.350000000000001"/>
    <n v="2.0499999999999998"/>
    <n v="22.4"/>
    <n v="4"/>
  </r>
  <r>
    <x v="493"/>
    <s v="Regular"/>
    <n v="754523531434"/>
    <x v="22"/>
    <n v="1"/>
    <n v="20.9"/>
    <n v="0"/>
    <n v="0"/>
    <n v="0"/>
    <n v="20.9"/>
    <n v="0"/>
    <n v="20.9"/>
    <n v="1"/>
  </r>
  <r>
    <x v="494"/>
    <s v="Regular"/>
    <n v="754523531403"/>
    <x v="22"/>
    <n v="1"/>
    <n v="20.9"/>
    <n v="0"/>
    <n v="0"/>
    <n v="0"/>
    <n v="20.9"/>
    <n v="0"/>
    <n v="20.9"/>
    <n v="1"/>
  </r>
  <r>
    <x v="495"/>
    <s v="Regular"/>
    <n v="754523531441"/>
    <x v="22"/>
    <n v="1"/>
    <n v="20.9"/>
    <n v="0"/>
    <n v="0"/>
    <n v="0"/>
    <n v="20.9"/>
    <n v="0"/>
    <n v="20.9"/>
    <n v="1"/>
  </r>
  <r>
    <x v="496"/>
    <s v="Regular"/>
    <n v="9369998005932"/>
    <x v="22"/>
    <n v="3"/>
    <n v="41.85"/>
    <n v="0"/>
    <n v="0"/>
    <n v="0"/>
    <n v="41.85"/>
    <n v="0"/>
    <n v="41.85"/>
    <n v="3"/>
  </r>
  <r>
    <x v="497"/>
    <s v="Regular"/>
    <n v="9352642000728"/>
    <x v="22"/>
    <n v="1"/>
    <n v="8.25"/>
    <n v="0"/>
    <n v="0"/>
    <n v="0"/>
    <n v="8.25"/>
    <n v="0"/>
    <n v="8.25"/>
    <n v="1"/>
  </r>
  <r>
    <x v="498"/>
    <s v="Regular"/>
    <n v="744109328428"/>
    <x v="22"/>
    <n v="3"/>
    <n v="17.55"/>
    <n v="0"/>
    <n v="0"/>
    <n v="0"/>
    <n v="17.55"/>
    <n v="0"/>
    <n v="17.55"/>
    <n v="3"/>
  </r>
  <r>
    <x v="499"/>
    <s v="Regular"/>
    <n v="744109328404"/>
    <x v="22"/>
    <n v="6"/>
    <n v="35.1"/>
    <n v="0"/>
    <n v="0"/>
    <n v="0"/>
    <n v="35.1"/>
    <n v="0"/>
    <n v="35.1"/>
    <n v="6"/>
  </r>
  <r>
    <x v="500"/>
    <s v="Regular"/>
    <n v="744109328411"/>
    <x v="22"/>
    <n v="2"/>
    <n v="11.7"/>
    <n v="0"/>
    <n v="0"/>
    <n v="0"/>
    <n v="11.7"/>
    <n v="0"/>
    <n v="11.7"/>
    <n v="2"/>
  </r>
  <r>
    <x v="501"/>
    <s v="Regular"/>
    <n v="744109328435"/>
    <x v="22"/>
    <n v="5"/>
    <n v="29.25"/>
    <n v="0"/>
    <n v="0"/>
    <n v="0"/>
    <n v="29.25"/>
    <n v="0"/>
    <n v="29.25"/>
    <n v="5"/>
  </r>
  <r>
    <x v="502"/>
    <s v="Regular"/>
    <n v="769807248267"/>
    <x v="22"/>
    <n v="2"/>
    <n v="10.8"/>
    <n v="0"/>
    <n v="0"/>
    <n v="0"/>
    <n v="10.8"/>
    <n v="1.1000000000000001"/>
    <n v="11.9"/>
    <n v="2"/>
  </r>
  <r>
    <x v="503"/>
    <s v="Regular"/>
    <n v="80687033799"/>
    <x v="22"/>
    <n v="2"/>
    <n v="42"/>
    <n v="0"/>
    <n v="0"/>
    <n v="0"/>
    <n v="42"/>
    <n v="0"/>
    <n v="42"/>
    <n v="2"/>
  </r>
  <r>
    <x v="504"/>
    <s v="Regular"/>
    <n v="80687033980"/>
    <x v="22"/>
    <n v="5"/>
    <n v="59.5"/>
    <n v="0"/>
    <n v="0"/>
    <n v="-0.61"/>
    <n v="58.89"/>
    <n v="0"/>
    <n v="58.89"/>
    <n v="5"/>
  </r>
  <r>
    <x v="505"/>
    <s v="Regular"/>
    <n v="80687033812"/>
    <x v="22"/>
    <n v="4"/>
    <n v="84"/>
    <n v="0"/>
    <n v="0"/>
    <n v="-5"/>
    <n v="79"/>
    <n v="0"/>
    <n v="79"/>
    <n v="4"/>
  </r>
  <r>
    <x v="506"/>
    <s v="Regular"/>
    <n v="80687033843"/>
    <x v="22"/>
    <n v="1"/>
    <n v="21"/>
    <n v="0"/>
    <n v="0"/>
    <n v="0"/>
    <n v="21"/>
    <n v="0"/>
    <n v="21"/>
    <n v="1"/>
  </r>
  <r>
    <x v="507"/>
    <s v="Regular"/>
    <n v="9369998064823"/>
    <x v="22"/>
    <n v="13"/>
    <n v="76.23"/>
    <n v="0"/>
    <n v="0"/>
    <n v="-0.72"/>
    <n v="75.510000000000005"/>
    <n v="7.62"/>
    <n v="83.13"/>
    <n v="13"/>
  </r>
  <r>
    <x v="508"/>
    <s v="Regular"/>
    <n v="9369998505890"/>
    <x v="22"/>
    <n v="2"/>
    <n v="11.72"/>
    <n v="0"/>
    <n v="0"/>
    <n v="0"/>
    <n v="11.72"/>
    <n v="1.18"/>
    <n v="12.9"/>
    <n v="2"/>
  </r>
  <r>
    <x v="509"/>
    <s v="Regular"/>
    <n v="39978024527"/>
    <x v="23"/>
    <n v="1"/>
    <n v="16.95"/>
    <n v="0"/>
    <n v="0"/>
    <n v="0"/>
    <n v="16.95"/>
    <n v="0"/>
    <n v="16.95"/>
    <n v="1"/>
  </r>
  <r>
    <x v="510"/>
    <s v="Regular"/>
    <n v="39978113139"/>
    <x v="23"/>
    <n v="1"/>
    <n v="13.1"/>
    <n v="0"/>
    <n v="0"/>
    <n v="0"/>
    <n v="13.1"/>
    <n v="0"/>
    <n v="13.1"/>
    <n v="1"/>
  </r>
  <r>
    <x v="511"/>
    <s v="Regular"/>
    <n v="39978034533"/>
    <x v="23"/>
    <n v="3"/>
    <n v="44.7"/>
    <n v="0"/>
    <n v="0"/>
    <n v="0"/>
    <n v="44.7"/>
    <n v="0"/>
    <n v="44.7"/>
    <n v="3"/>
  </r>
  <r>
    <x v="512"/>
    <s v="Regular"/>
    <n v="39978002839"/>
    <x v="23"/>
    <n v="1"/>
    <n v="14.3"/>
    <n v="0"/>
    <n v="0"/>
    <n v="0"/>
    <n v="14.3"/>
    <n v="0"/>
    <n v="14.3"/>
    <n v="1"/>
  </r>
  <r>
    <x v="513"/>
    <s v="Regular"/>
    <n v="39978114624"/>
    <x v="23"/>
    <n v="2"/>
    <n v="28.6"/>
    <n v="0"/>
    <n v="0"/>
    <n v="0"/>
    <n v="28.6"/>
    <n v="0"/>
    <n v="28.6"/>
    <n v="2"/>
  </r>
  <r>
    <x v="514"/>
    <s v="Regular"/>
    <n v="39978025258"/>
    <x v="23"/>
    <n v="1"/>
    <n v="13.7"/>
    <n v="0"/>
    <n v="0"/>
    <n v="0"/>
    <n v="13.7"/>
    <n v="0"/>
    <n v="13.7"/>
    <n v="1"/>
  </r>
  <r>
    <x v="515"/>
    <s v="Regular"/>
    <n v="39978113115"/>
    <x v="23"/>
    <n v="3"/>
    <n v="41.55"/>
    <n v="0"/>
    <n v="0"/>
    <n v="0"/>
    <n v="41.55"/>
    <n v="0"/>
    <n v="41.55"/>
    <n v="3"/>
  </r>
  <r>
    <x v="516"/>
    <s v="Regular"/>
    <n v="9319934000194"/>
    <x v="23"/>
    <n v="1"/>
    <n v="8.1999999999999993"/>
    <n v="0"/>
    <n v="0"/>
    <n v="0"/>
    <n v="8.1999999999999993"/>
    <n v="0"/>
    <n v="8.1999999999999993"/>
    <n v="1"/>
  </r>
  <r>
    <x v="517"/>
    <s v="Regular"/>
    <n v="9339337004667"/>
    <x v="23"/>
    <n v="2"/>
    <n v="11.9"/>
    <n v="0"/>
    <n v="0"/>
    <n v="0"/>
    <n v="11.9"/>
    <n v="0"/>
    <n v="11.9"/>
    <n v="2"/>
  </r>
  <r>
    <x v="518"/>
    <s v="Regular"/>
    <n v="9313958005890"/>
    <x v="23"/>
    <n v="1"/>
    <n v="11.45"/>
    <n v="0"/>
    <n v="0"/>
    <n v="0"/>
    <n v="11.45"/>
    <n v="0"/>
    <n v="11.45"/>
    <n v="1"/>
  </r>
  <r>
    <x v="519"/>
    <s v="Regular"/>
    <n v="9332834002600"/>
    <x v="23"/>
    <n v="1"/>
    <n v="22.1"/>
    <n v="0"/>
    <n v="0"/>
    <n v="0"/>
    <n v="22.1"/>
    <n v="0"/>
    <n v="22.1"/>
    <n v="1"/>
  </r>
  <r>
    <x v="520"/>
    <s v="Regular"/>
    <n v="9322428002888"/>
    <x v="23"/>
    <n v="1"/>
    <n v="21.5"/>
    <n v="0"/>
    <n v="0"/>
    <n v="0"/>
    <n v="21.5"/>
    <n v="0"/>
    <n v="21.5"/>
    <n v="1"/>
  </r>
  <r>
    <x v="521"/>
    <s v="Regular"/>
    <n v="9356689000017"/>
    <x v="24"/>
    <n v="1"/>
    <n v="58.98"/>
    <n v="0"/>
    <n v="0"/>
    <n v="0"/>
    <n v="58.98"/>
    <n v="5.97"/>
    <n v="64.95"/>
    <n v="1"/>
  </r>
  <r>
    <x v="522"/>
    <s v="Regular"/>
    <n v="100000012376"/>
    <x v="25"/>
    <n v="1"/>
    <n v="3.5"/>
    <n v="0"/>
    <n v="0"/>
    <n v="-0.46"/>
    <n v="3.04"/>
    <n v="0"/>
    <n v="3.04"/>
    <n v="1"/>
  </r>
  <r>
    <x v="523"/>
    <s v="Regular"/>
    <n v="100000012383"/>
    <x v="25"/>
    <n v="1"/>
    <n v="3.5"/>
    <n v="0"/>
    <n v="0"/>
    <n v="-0.46"/>
    <n v="3.04"/>
    <n v="0"/>
    <n v="3.04"/>
    <n v="1"/>
  </r>
  <r>
    <x v="524"/>
    <s v="Regular"/>
    <n v="100000007204"/>
    <x v="25"/>
    <n v="2"/>
    <n v="5.6"/>
    <n v="0"/>
    <n v="0"/>
    <n v="-0.18"/>
    <n v="5.42"/>
    <n v="0"/>
    <n v="5.42"/>
    <n v="2"/>
  </r>
  <r>
    <x v="525"/>
    <s v="Regular"/>
    <n v="9344060000015"/>
    <x v="26"/>
    <n v="1"/>
    <n v="10.9"/>
    <n v="0"/>
    <n v="0"/>
    <n v="-0.34"/>
    <n v="10.56"/>
    <n v="0"/>
    <n v="10.56"/>
    <n v="1"/>
  </r>
  <r>
    <x v="526"/>
    <s v="Regular"/>
    <n v="9344060000008"/>
    <x v="26"/>
    <n v="1"/>
    <n v="10.9"/>
    <n v="0"/>
    <n v="0"/>
    <n v="0"/>
    <n v="10.9"/>
    <n v="0"/>
    <n v="10.9"/>
    <n v="1"/>
  </r>
  <r>
    <x v="527"/>
    <s v="Regular"/>
    <n v="9339204004547"/>
    <x v="26"/>
    <n v="5"/>
    <n v="126.75"/>
    <n v="0"/>
    <n v="0"/>
    <n v="0"/>
    <n v="126.75"/>
    <n v="0"/>
    <n v="126.75"/>
    <n v="5"/>
  </r>
  <r>
    <x v="528"/>
    <s v="Regular"/>
    <n v="9339204001300"/>
    <x v="26"/>
    <n v="1"/>
    <n v="13.1"/>
    <n v="0"/>
    <n v="0"/>
    <n v="0"/>
    <n v="13.1"/>
    <n v="0"/>
    <n v="13.1"/>
    <n v="1"/>
  </r>
  <r>
    <x v="529"/>
    <s v="Regular"/>
    <n v="9339204000907"/>
    <x v="26"/>
    <n v="1"/>
    <n v="11.95"/>
    <n v="0"/>
    <n v="0"/>
    <n v="0"/>
    <n v="11.95"/>
    <n v="0"/>
    <n v="11.95"/>
    <n v="1"/>
  </r>
  <r>
    <x v="530"/>
    <s v="Regular"/>
    <n v="9339204000914"/>
    <x v="26"/>
    <n v="3"/>
    <n v="34.35"/>
    <n v="0"/>
    <n v="0"/>
    <n v="0"/>
    <n v="34.35"/>
    <n v="0"/>
    <n v="34.35"/>
    <n v="3"/>
  </r>
  <r>
    <x v="531"/>
    <s v="Regular"/>
    <n v="9339204000945"/>
    <x v="26"/>
    <n v="1"/>
    <n v="10.55"/>
    <n v="0"/>
    <n v="0"/>
    <n v="0"/>
    <n v="10.55"/>
    <n v="0"/>
    <n v="10.55"/>
    <n v="1"/>
  </r>
  <r>
    <x v="532"/>
    <s v="Regular"/>
    <n v="9339204000433"/>
    <x v="26"/>
    <n v="2"/>
    <n v="22.7"/>
    <n v="0"/>
    <n v="0"/>
    <n v="0"/>
    <n v="22.7"/>
    <n v="0"/>
    <n v="22.7"/>
    <n v="2"/>
  </r>
  <r>
    <x v="533"/>
    <s v="Regular"/>
    <n v="9339204004530"/>
    <x v="26"/>
    <n v="1"/>
    <n v="32.299999999999997"/>
    <n v="0"/>
    <n v="0"/>
    <n v="0"/>
    <n v="32.299999999999997"/>
    <n v="0"/>
    <n v="32.299999999999997"/>
    <n v="1"/>
  </r>
  <r>
    <x v="534"/>
    <s v="Regular"/>
    <n v="9339204004325"/>
    <x v="26"/>
    <n v="1"/>
    <n v="13.3"/>
    <n v="0"/>
    <n v="0"/>
    <n v="0"/>
    <n v="13.3"/>
    <n v="0"/>
    <n v="13.3"/>
    <n v="1"/>
  </r>
  <r>
    <x v="535"/>
    <s v="Regular"/>
    <n v="9339204004219"/>
    <x v="26"/>
    <n v="1"/>
    <n v="27.2"/>
    <n v="0"/>
    <n v="0"/>
    <n v="0"/>
    <n v="27.2"/>
    <n v="0"/>
    <n v="27.2"/>
    <n v="1"/>
  </r>
  <r>
    <x v="536"/>
    <s v="Regular"/>
    <n v="9339204000754"/>
    <x v="26"/>
    <n v="1"/>
    <n v="11.95"/>
    <n v="0"/>
    <n v="0"/>
    <n v="-1.19"/>
    <n v="10.76"/>
    <n v="0"/>
    <n v="10.76"/>
    <n v="1"/>
  </r>
  <r>
    <x v="537"/>
    <s v="Regular"/>
    <s v="W804383"/>
    <x v="26"/>
    <n v="2"/>
    <n v="53.7"/>
    <n v="0"/>
    <n v="0"/>
    <n v="0"/>
    <n v="53.7"/>
    <n v="0"/>
    <n v="53.7"/>
    <n v="2"/>
  </r>
  <r>
    <x v="538"/>
    <s v="Regular"/>
    <s v="632609K"/>
    <x v="26"/>
    <n v="1"/>
    <n v="12.4"/>
    <n v="0"/>
    <n v="0"/>
    <n v="0"/>
    <n v="12.4"/>
    <n v="0"/>
    <n v="12.4"/>
    <n v="1"/>
  </r>
  <r>
    <x v="539"/>
    <s v="Regular"/>
    <n v="9339204000570"/>
    <x v="26"/>
    <n v="9"/>
    <n v="288.89999999999998"/>
    <n v="0"/>
    <n v="0"/>
    <n v="-7.39"/>
    <n v="281.51"/>
    <n v="0"/>
    <n v="281.51"/>
    <n v="9"/>
  </r>
  <r>
    <x v="540"/>
    <s v="Regular"/>
    <n v="9339204002291"/>
    <x v="26"/>
    <n v="4"/>
    <n v="32.6"/>
    <n v="0"/>
    <n v="0"/>
    <n v="-32.6"/>
    <n v="0"/>
    <n v="0"/>
    <n v="0"/>
    <n v="4"/>
  </r>
  <r>
    <x v="541"/>
    <s v="Regular"/>
    <n v="9339204001669"/>
    <x v="26"/>
    <n v="1"/>
    <n v="7.2"/>
    <n v="0"/>
    <n v="0"/>
    <n v="0"/>
    <n v="7.2"/>
    <n v="0"/>
    <n v="7.2"/>
    <n v="1"/>
  </r>
  <r>
    <x v="542"/>
    <s v="Regular"/>
    <n v="9339204001195"/>
    <x v="26"/>
    <n v="5"/>
    <n v="137.75"/>
    <n v="0"/>
    <n v="0"/>
    <n v="-0.67"/>
    <n v="137.08000000000001"/>
    <n v="0"/>
    <n v="137.08000000000001"/>
    <n v="5"/>
  </r>
  <r>
    <x v="543"/>
    <s v="Regular"/>
    <n v="9369998149605"/>
    <x v="26"/>
    <n v="1"/>
    <n v="21.3"/>
    <n v="0"/>
    <n v="0"/>
    <n v="0"/>
    <n v="21.3"/>
    <n v="0"/>
    <n v="21.3"/>
    <n v="1"/>
  </r>
  <r>
    <x v="544"/>
    <s v="Regular"/>
    <n v="9421017392253"/>
    <x v="26"/>
    <n v="2"/>
    <n v="19.899999999999999"/>
    <n v="0"/>
    <n v="0"/>
    <n v="0"/>
    <n v="19.899999999999999"/>
    <n v="0"/>
    <n v="19.899999999999999"/>
    <n v="2"/>
  </r>
  <r>
    <x v="545"/>
    <s v="Regular"/>
    <n v="9421905407588"/>
    <x v="26"/>
    <n v="2"/>
    <n v="23"/>
    <n v="0"/>
    <n v="0"/>
    <n v="0"/>
    <n v="23"/>
    <n v="0"/>
    <n v="23"/>
    <n v="2"/>
  </r>
  <r>
    <x v="546"/>
    <s v="Regular"/>
    <n v="9421905407618"/>
    <x v="26"/>
    <n v="2"/>
    <n v="27.6"/>
    <n v="0"/>
    <n v="0"/>
    <n v="-4.99"/>
    <n v="22.61"/>
    <n v="0"/>
    <n v="22.61"/>
    <n v="2"/>
  </r>
  <r>
    <x v="547"/>
    <s v="Regular"/>
    <n v="9369999020927"/>
    <x v="27"/>
    <n v="1"/>
    <n v="8.18"/>
    <n v="0"/>
    <n v="0"/>
    <n v="0"/>
    <n v="8.18"/>
    <n v="0.82"/>
    <n v="9"/>
    <n v="1"/>
  </r>
  <r>
    <x v="548"/>
    <s v="Regular"/>
    <n v="659359533976"/>
    <x v="27"/>
    <n v="3"/>
    <n v="62.85"/>
    <n v="0"/>
    <n v="0"/>
    <n v="0"/>
    <n v="62.85"/>
    <n v="0"/>
    <n v="62.85"/>
    <n v="3"/>
  </r>
  <r>
    <x v="549"/>
    <s v="Regular"/>
    <n v="659359608131"/>
    <x v="27"/>
    <n v="3"/>
    <n v="62.85"/>
    <n v="0"/>
    <n v="0"/>
    <n v="0"/>
    <n v="62.85"/>
    <n v="0"/>
    <n v="62.85"/>
    <n v="3"/>
  </r>
  <r>
    <x v="550"/>
    <s v="Regular"/>
    <n v="659359533990"/>
    <x v="27"/>
    <n v="3"/>
    <n v="62.85"/>
    <n v="0"/>
    <n v="0"/>
    <n v="0"/>
    <n v="62.85"/>
    <n v="0"/>
    <n v="62.85"/>
    <n v="3"/>
  </r>
  <r>
    <x v="551"/>
    <s v="Regular"/>
    <n v="659359533983"/>
    <x v="27"/>
    <n v="1"/>
    <n v="24.95"/>
    <n v="0"/>
    <n v="0"/>
    <n v="0"/>
    <n v="24.95"/>
    <n v="0"/>
    <n v="24.95"/>
    <n v="1"/>
  </r>
  <r>
    <x v="552"/>
    <s v="Regular"/>
    <n v="9358327000038"/>
    <x v="27"/>
    <n v="1"/>
    <n v="14.6"/>
    <n v="0"/>
    <n v="0"/>
    <n v="0"/>
    <n v="14.6"/>
    <n v="0"/>
    <n v="14.6"/>
    <n v="1"/>
  </r>
  <r>
    <x v="553"/>
    <s v="Regular"/>
    <n v="9369998087501"/>
    <x v="27"/>
    <n v="2"/>
    <n v="30.9"/>
    <n v="0"/>
    <n v="0"/>
    <n v="0"/>
    <n v="30.9"/>
    <n v="0"/>
    <n v="30.9"/>
    <n v="2"/>
  </r>
  <r>
    <x v="554"/>
    <s v="Regular"/>
    <n v="9369998325153"/>
    <x v="27"/>
    <n v="1"/>
    <n v="15.45"/>
    <n v="0"/>
    <n v="0"/>
    <n v="0"/>
    <n v="15.45"/>
    <n v="0"/>
    <n v="15.45"/>
    <n v="1"/>
  </r>
  <r>
    <x v="555"/>
    <s v="Regular"/>
    <n v="9338101001260"/>
    <x v="27"/>
    <n v="1"/>
    <n v="8.15"/>
    <n v="0"/>
    <n v="0"/>
    <n v="0"/>
    <n v="8.15"/>
    <n v="0"/>
    <n v="8.15"/>
    <n v="1"/>
  </r>
  <r>
    <x v="556"/>
    <s v="Regular"/>
    <n v="100000011973"/>
    <x v="28"/>
    <n v="5"/>
    <n v="15.38"/>
    <n v="0"/>
    <n v="0"/>
    <n v="-0.3"/>
    <n v="15.08"/>
    <n v="0"/>
    <n v="15.08"/>
    <n v="1.45"/>
  </r>
  <r>
    <x v="557"/>
    <s v="Regular"/>
    <s v="W610869"/>
    <x v="28"/>
    <n v="15"/>
    <n v="46.96"/>
    <n v="0"/>
    <n v="0"/>
    <n v="-2.33"/>
    <n v="44.63"/>
    <n v="0"/>
    <n v="44.63"/>
    <n v="4.5430000000000001"/>
  </r>
  <r>
    <x v="558"/>
    <s v="Regular"/>
    <s v="421477Z"/>
    <x v="28"/>
    <n v="9"/>
    <n v="32.85"/>
    <n v="0"/>
    <n v="0"/>
    <n v="0"/>
    <n v="32.85"/>
    <n v="0"/>
    <n v="32.85"/>
    <n v="9"/>
  </r>
  <r>
    <x v="559"/>
    <s v="Regular"/>
    <n v="100000001493"/>
    <x v="28"/>
    <n v="9"/>
    <n v="29.07"/>
    <n v="0"/>
    <n v="0"/>
    <n v="-0.68"/>
    <n v="28.39"/>
    <n v="0"/>
    <n v="28.39"/>
    <n v="4.4400000000000004"/>
  </r>
  <r>
    <x v="560"/>
    <s v="Regular"/>
    <s v="Y495411"/>
    <x v="28"/>
    <n v="1"/>
    <n v="4.97"/>
    <n v="0"/>
    <n v="0"/>
    <n v="-0.14000000000000001"/>
    <n v="4.83"/>
    <n v="0"/>
    <n v="4.83"/>
    <n v="0.58499999999999996"/>
  </r>
  <r>
    <x v="561"/>
    <s v="Regular"/>
    <s v="P063250"/>
    <x v="28"/>
    <n v="6"/>
    <n v="19.16"/>
    <n v="0"/>
    <n v="0"/>
    <n v="0"/>
    <n v="19.16"/>
    <n v="0"/>
    <n v="19.16"/>
    <n v="0.98"/>
  </r>
  <r>
    <x v="562"/>
    <s v="Regular"/>
    <s v="451273G"/>
    <x v="28"/>
    <n v="17"/>
    <n v="49.09"/>
    <n v="0"/>
    <n v="0"/>
    <n v="-1.4"/>
    <n v="47.69"/>
    <n v="0"/>
    <n v="47.69"/>
    <n v="3.7469999999999999"/>
  </r>
  <r>
    <x v="563"/>
    <s v="Regular"/>
    <s v="X290400"/>
    <x v="28"/>
    <n v="3"/>
    <n v="20.170000000000002"/>
    <n v="0"/>
    <n v="0"/>
    <n v="-2.04"/>
    <n v="18.13"/>
    <n v="3.68"/>
    <n v="21.81"/>
    <n v="3"/>
  </r>
  <r>
    <x v="564"/>
    <s v="Regular"/>
    <s v="212072G"/>
    <x v="28"/>
    <n v="7"/>
    <n v="18.48"/>
    <n v="0"/>
    <n v="0"/>
    <n v="0"/>
    <n v="18.48"/>
    <n v="0"/>
    <n v="18.48"/>
    <n v="3.625"/>
  </r>
  <r>
    <x v="565"/>
    <s v="Regular"/>
    <s v="L407795"/>
    <x v="28"/>
    <n v="1"/>
    <n v="8.3000000000000007"/>
    <n v="0"/>
    <n v="0"/>
    <n v="-1.66"/>
    <n v="6.64"/>
    <n v="0"/>
    <n v="6.64"/>
    <n v="0.61"/>
  </r>
  <r>
    <x v="566"/>
    <s v="Regular"/>
    <s v="L831968"/>
    <x v="28"/>
    <n v="3"/>
    <n v="15.5"/>
    <n v="0"/>
    <n v="0"/>
    <n v="-6.6"/>
    <n v="8.9"/>
    <n v="0"/>
    <n v="8.9"/>
    <n v="1.615"/>
  </r>
  <r>
    <x v="567"/>
    <s v="Regular"/>
    <s v="V136964"/>
    <x v="28"/>
    <n v="14"/>
    <n v="135"/>
    <n v="0"/>
    <n v="0"/>
    <n v="-9.34"/>
    <n v="125.66"/>
    <n v="0"/>
    <n v="125.66"/>
    <n v="14"/>
  </r>
  <r>
    <x v="568"/>
    <s v="Regular"/>
    <n v="2888118"/>
    <x v="28"/>
    <n v="4"/>
    <n v="68.33"/>
    <n v="0"/>
    <n v="0"/>
    <n v="-2.2599999999999998"/>
    <n v="66.069999999999993"/>
    <n v="0"/>
    <n v="66.069999999999993"/>
    <n v="10.275"/>
  </r>
  <r>
    <x v="569"/>
    <s v="Regular"/>
    <s v="S415078"/>
    <x v="29"/>
    <n v="2"/>
    <n v="79.900000000000006"/>
    <n v="0"/>
    <n v="0"/>
    <n v="0"/>
    <n v="79.900000000000006"/>
    <n v="0"/>
    <n v="79.900000000000006"/>
    <n v="2"/>
  </r>
  <r>
    <x v="570"/>
    <s v="Regular"/>
    <n v="8290393"/>
    <x v="29"/>
    <n v="1"/>
    <n v="40.82"/>
    <n v="0"/>
    <n v="0"/>
    <n v="0"/>
    <n v="40.82"/>
    <n v="4.13"/>
    <n v="44.95"/>
    <n v="1"/>
  </r>
  <r>
    <x v="571"/>
    <s v="Regular"/>
    <n v="3760062889940"/>
    <x v="29"/>
    <n v="1"/>
    <n v="38.6"/>
    <n v="0"/>
    <n v="0"/>
    <n v="0"/>
    <n v="38.6"/>
    <n v="3.9"/>
    <n v="42.5"/>
    <n v="1"/>
  </r>
  <r>
    <x v="572"/>
    <s v="Regular"/>
    <n v="9348571000205"/>
    <x v="30"/>
    <n v="1"/>
    <n v="14"/>
    <n v="0"/>
    <n v="0"/>
    <n v="0"/>
    <n v="14"/>
    <n v="0"/>
    <n v="14"/>
    <n v="1"/>
  </r>
  <r>
    <x v="573"/>
    <s v="Regular"/>
    <n v="9415748004516"/>
    <x v="30"/>
    <n v="1"/>
    <n v="3"/>
    <n v="0"/>
    <n v="0"/>
    <n v="-0.72"/>
    <n v="2.2799999999999998"/>
    <n v="0"/>
    <n v="2.2799999999999998"/>
    <n v="1"/>
  </r>
  <r>
    <x v="574"/>
    <s v="Regular"/>
    <n v="9339337300172"/>
    <x v="30"/>
    <n v="2"/>
    <n v="18.2"/>
    <n v="0"/>
    <n v="0"/>
    <n v="0"/>
    <n v="18.2"/>
    <n v="0"/>
    <n v="18.2"/>
    <n v="2"/>
  </r>
  <r>
    <x v="575"/>
    <s v="Regular"/>
    <n v="9339337001178"/>
    <x v="30"/>
    <n v="1"/>
    <n v="6.45"/>
    <n v="0"/>
    <n v="0"/>
    <n v="0"/>
    <n v="6.45"/>
    <n v="0"/>
    <n v="6.45"/>
    <n v="1"/>
  </r>
  <r>
    <x v="576"/>
    <s v="Regular"/>
    <n v="9339944005002"/>
    <x v="30"/>
    <n v="1"/>
    <n v="11.95"/>
    <n v="0"/>
    <n v="0"/>
    <n v="-2.27"/>
    <n v="9.68"/>
    <n v="0"/>
    <n v="9.68"/>
    <n v="1"/>
  </r>
  <r>
    <x v="577"/>
    <s v="Regular"/>
    <n v="9339944001561"/>
    <x v="30"/>
    <n v="3"/>
    <n v="30.3"/>
    <n v="0"/>
    <n v="0"/>
    <n v="-3.24"/>
    <n v="27.06"/>
    <n v="0"/>
    <n v="27.06"/>
    <n v="3"/>
  </r>
  <r>
    <x v="578"/>
    <s v="Regular"/>
    <n v="9339944006900"/>
    <x v="30"/>
    <n v="2"/>
    <n v="5.8"/>
    <n v="0"/>
    <n v="0"/>
    <n v="-0.28999999999999998"/>
    <n v="5.51"/>
    <n v="0"/>
    <n v="5.51"/>
    <n v="2"/>
  </r>
  <r>
    <x v="579"/>
    <s v="Regular"/>
    <n v="9339944002247"/>
    <x v="30"/>
    <n v="1"/>
    <n v="8.6"/>
    <n v="0"/>
    <n v="0"/>
    <n v="-0.86"/>
    <n v="7.74"/>
    <n v="0"/>
    <n v="7.74"/>
    <n v="1"/>
  </r>
  <r>
    <x v="580"/>
    <s v="Regular"/>
    <n v="9339944000991"/>
    <x v="30"/>
    <n v="2"/>
    <n v="28.2"/>
    <n v="0"/>
    <n v="0"/>
    <n v="-1.41"/>
    <n v="26.79"/>
    <n v="0"/>
    <n v="26.79"/>
    <n v="2"/>
  </r>
  <r>
    <x v="581"/>
    <s v="Regular"/>
    <n v="9339944000311"/>
    <x v="30"/>
    <n v="1"/>
    <n v="7.4"/>
    <n v="0"/>
    <n v="0"/>
    <n v="0"/>
    <n v="7.4"/>
    <n v="0"/>
    <n v="7.4"/>
    <n v="1"/>
  </r>
  <r>
    <x v="582"/>
    <s v="Regular"/>
    <n v="9339944001608"/>
    <x v="30"/>
    <n v="2"/>
    <n v="18.600000000000001"/>
    <n v="0"/>
    <n v="0"/>
    <n v="-0.52"/>
    <n v="18.079999999999998"/>
    <n v="0"/>
    <n v="18.079999999999998"/>
    <n v="2"/>
  </r>
  <r>
    <x v="583"/>
    <s v="Regular"/>
    <n v="9339944002193"/>
    <x v="30"/>
    <n v="1"/>
    <n v="9.6999999999999993"/>
    <n v="0"/>
    <n v="0"/>
    <n v="0"/>
    <n v="9.6999999999999993"/>
    <n v="0"/>
    <n v="9.6999999999999993"/>
    <n v="1"/>
  </r>
  <r>
    <x v="584"/>
    <s v="Regular"/>
    <n v="8012462010123"/>
    <x v="30"/>
    <n v="1"/>
    <n v="4.6500000000000004"/>
    <n v="0"/>
    <n v="0"/>
    <n v="0"/>
    <n v="4.6500000000000004"/>
    <n v="0"/>
    <n v="4.6500000000000004"/>
    <n v="1"/>
  </r>
  <r>
    <x v="585"/>
    <s v="Regular"/>
    <n v="9312336740200"/>
    <x v="30"/>
    <n v="3"/>
    <n v="10.5"/>
    <n v="0"/>
    <n v="0"/>
    <n v="-0.7"/>
    <n v="9.8000000000000007"/>
    <n v="0"/>
    <n v="9.8000000000000007"/>
    <n v="3"/>
  </r>
  <r>
    <x v="586"/>
    <s v="Regular"/>
    <n v="9339337002014"/>
    <x v="31"/>
    <n v="1"/>
    <n v="7.1"/>
    <n v="0"/>
    <n v="0"/>
    <n v="0"/>
    <n v="7.1"/>
    <n v="0"/>
    <n v="7.1"/>
    <n v="1"/>
  </r>
  <r>
    <x v="587"/>
    <s v="Regular"/>
    <n v="9332974000016"/>
    <x v="31"/>
    <n v="1"/>
    <n v="4.95"/>
    <n v="0"/>
    <n v="0"/>
    <n v="0"/>
    <n v="4.95"/>
    <n v="0"/>
    <n v="4.95"/>
    <n v="1"/>
  </r>
  <r>
    <x v="588"/>
    <s v="Regular"/>
    <n v="9332974000030"/>
    <x v="31"/>
    <n v="1"/>
    <n v="4.95"/>
    <n v="0"/>
    <n v="0"/>
    <n v="0"/>
    <n v="4.95"/>
    <n v="0"/>
    <n v="4.95"/>
    <n v="1"/>
  </r>
  <r>
    <x v="589"/>
    <s v="Regular"/>
    <n v="9332974000146"/>
    <x v="31"/>
    <n v="1"/>
    <n v="4.95"/>
    <n v="0"/>
    <n v="0"/>
    <n v="0"/>
    <n v="4.95"/>
    <n v="0"/>
    <n v="4.95"/>
    <n v="1"/>
  </r>
  <r>
    <x v="590"/>
    <s v="Regular"/>
    <n v="9332974000054"/>
    <x v="31"/>
    <n v="1"/>
    <n v="4.95"/>
    <n v="0"/>
    <n v="0"/>
    <n v="0"/>
    <n v="4.95"/>
    <n v="0"/>
    <n v="4.95"/>
    <n v="1"/>
  </r>
  <r>
    <x v="591"/>
    <s v="Regular"/>
    <n v="9332974000061"/>
    <x v="31"/>
    <n v="1"/>
    <n v="4.95"/>
    <n v="0"/>
    <n v="0"/>
    <n v="0"/>
    <n v="4.95"/>
    <n v="0"/>
    <n v="4.95"/>
    <n v="1"/>
  </r>
  <r>
    <x v="592"/>
    <s v="Regular"/>
    <n v="9332974000160"/>
    <x v="31"/>
    <n v="1"/>
    <n v="4.95"/>
    <n v="0"/>
    <n v="0"/>
    <n v="0"/>
    <n v="4.95"/>
    <n v="0"/>
    <n v="4.95"/>
    <n v="1"/>
  </r>
  <r>
    <x v="593"/>
    <s v="Regular"/>
    <n v="9332974000283"/>
    <x v="31"/>
    <n v="1"/>
    <n v="4.95"/>
    <n v="0"/>
    <n v="0"/>
    <n v="0"/>
    <n v="4.95"/>
    <n v="0"/>
    <n v="4.95"/>
    <n v="1"/>
  </r>
  <r>
    <x v="594"/>
    <s v="Regular"/>
    <n v="9332974000429"/>
    <x v="31"/>
    <n v="1"/>
    <n v="4.95"/>
    <n v="0"/>
    <n v="0"/>
    <n v="0"/>
    <n v="4.95"/>
    <n v="0"/>
    <n v="4.95"/>
    <n v="1"/>
  </r>
  <r>
    <x v="595"/>
    <s v="Regular"/>
    <n v="9332974000887"/>
    <x v="31"/>
    <n v="1"/>
    <n v="4.95"/>
    <n v="0"/>
    <n v="0"/>
    <n v="0"/>
    <n v="4.95"/>
    <n v="0"/>
    <n v="4.95"/>
    <n v="1"/>
  </r>
  <r>
    <x v="596"/>
    <s v="Regular"/>
    <n v="9332974000733"/>
    <x v="31"/>
    <n v="1"/>
    <n v="4.95"/>
    <n v="0"/>
    <n v="0"/>
    <n v="0"/>
    <n v="4.95"/>
    <n v="0"/>
    <n v="4.95"/>
    <n v="1"/>
  </r>
  <r>
    <x v="597"/>
    <s v="Regular"/>
    <n v="9332974000078"/>
    <x v="31"/>
    <n v="1"/>
    <n v="4.95"/>
    <n v="0"/>
    <n v="0"/>
    <n v="0"/>
    <n v="4.95"/>
    <n v="0"/>
    <n v="4.95"/>
    <n v="1"/>
  </r>
  <r>
    <x v="598"/>
    <s v="Regular"/>
    <n v="9332974000252"/>
    <x v="31"/>
    <n v="2"/>
    <n v="9.9"/>
    <n v="0"/>
    <n v="0"/>
    <n v="0"/>
    <n v="9.9"/>
    <n v="0"/>
    <n v="9.9"/>
    <n v="2"/>
  </r>
  <r>
    <x v="599"/>
    <s v="Regular"/>
    <n v="9339944008898"/>
    <x v="31"/>
    <n v="2"/>
    <n v="21.2"/>
    <n v="0"/>
    <n v="0"/>
    <n v="0"/>
    <n v="21.2"/>
    <n v="0"/>
    <n v="21.2"/>
    <n v="2"/>
  </r>
  <r>
    <x v="600"/>
    <s v="Regular"/>
    <n v="9339944008881"/>
    <x v="31"/>
    <n v="1"/>
    <n v="10.6"/>
    <n v="0"/>
    <n v="0"/>
    <n v="0"/>
    <n v="10.6"/>
    <n v="0"/>
    <n v="10.6"/>
    <n v="1"/>
  </r>
  <r>
    <x v="601"/>
    <s v="Regular"/>
    <n v="9339944003534"/>
    <x v="31"/>
    <n v="1"/>
    <n v="7.7"/>
    <n v="0"/>
    <n v="0"/>
    <n v="0"/>
    <n v="7.7"/>
    <n v="0"/>
    <n v="7.7"/>
    <n v="1"/>
  </r>
  <r>
    <x v="602"/>
    <s v="Regular"/>
    <n v="9339944002643"/>
    <x v="31"/>
    <n v="1"/>
    <n v="7.65"/>
    <n v="0"/>
    <n v="0"/>
    <n v="0"/>
    <n v="7.65"/>
    <n v="0"/>
    <n v="7.65"/>
    <n v="1"/>
  </r>
  <r>
    <x v="603"/>
    <s v="Regular"/>
    <n v="9339944006535"/>
    <x v="31"/>
    <n v="2"/>
    <n v="21.8"/>
    <n v="0"/>
    <n v="0"/>
    <n v="0"/>
    <n v="21.8"/>
    <n v="0"/>
    <n v="21.8"/>
    <n v="2"/>
  </r>
  <r>
    <x v="604"/>
    <s v="Regular"/>
    <n v="8413629400014"/>
    <x v="31"/>
    <n v="2"/>
    <n v="17.5"/>
    <n v="0"/>
    <n v="0"/>
    <n v="0"/>
    <n v="17.5"/>
    <n v="0"/>
    <n v="17.5"/>
    <n v="2"/>
  </r>
  <r>
    <x v="605"/>
    <s v="Regular"/>
    <n v="9351857006112"/>
    <x v="31"/>
    <n v="1"/>
    <n v="17.95"/>
    <n v="0"/>
    <n v="0"/>
    <n v="0"/>
    <n v="17.95"/>
    <n v="0"/>
    <n v="17.95"/>
    <n v="1"/>
  </r>
  <r>
    <x v="606"/>
    <s v="Regular"/>
    <n v="9350465000512"/>
    <x v="31"/>
    <n v="1"/>
    <n v="15.9"/>
    <n v="0"/>
    <n v="0"/>
    <n v="0"/>
    <n v="15.9"/>
    <n v="0"/>
    <n v="15.9"/>
    <n v="1"/>
  </r>
  <r>
    <x v="607"/>
    <s v="Regular"/>
    <n v="9310342006204"/>
    <x v="31"/>
    <n v="1"/>
    <n v="7.64"/>
    <n v="0"/>
    <n v="0"/>
    <n v="0"/>
    <n v="7.64"/>
    <n v="1.56"/>
    <n v="9.1999999999999993"/>
    <n v="1"/>
  </r>
  <r>
    <x v="608"/>
    <s v="Regular"/>
    <n v="9324648000057"/>
    <x v="31"/>
    <n v="3"/>
    <n v="47.4"/>
    <n v="0"/>
    <n v="0"/>
    <n v="0"/>
    <n v="47.4"/>
    <n v="0"/>
    <n v="47.4"/>
    <n v="3"/>
  </r>
  <r>
    <x v="609"/>
    <s v="Regular"/>
    <n v="9339966000542"/>
    <x v="32"/>
    <n v="2"/>
    <n v="18.07"/>
    <n v="0"/>
    <n v="0"/>
    <n v="0"/>
    <n v="18.07"/>
    <n v="1.83"/>
    <n v="19.899999999999999"/>
    <n v="2"/>
  </r>
  <r>
    <x v="610"/>
    <s v="Regular"/>
    <n v="9339966000535"/>
    <x v="32"/>
    <n v="2"/>
    <n v="18.07"/>
    <n v="0"/>
    <n v="0"/>
    <n v="0"/>
    <n v="18.07"/>
    <n v="1.83"/>
    <n v="19.899999999999999"/>
    <n v="2"/>
  </r>
  <r>
    <x v="611"/>
    <s v="Regular"/>
    <n v="9339966000559"/>
    <x v="32"/>
    <n v="2"/>
    <n v="18.079999999999998"/>
    <n v="0"/>
    <n v="0"/>
    <n v="0"/>
    <n v="18.079999999999998"/>
    <n v="1.82"/>
    <n v="19.899999999999999"/>
    <n v="2"/>
  </r>
  <r>
    <x v="612"/>
    <s v="Regular"/>
    <n v="60218060"/>
    <x v="32"/>
    <n v="1"/>
    <n v="24.52"/>
    <n v="0"/>
    <n v="0"/>
    <n v="0"/>
    <n v="24.52"/>
    <n v="2.48"/>
    <n v="27"/>
    <n v="1"/>
  </r>
  <r>
    <x v="613"/>
    <s v="Regular"/>
    <n v="5060391848242"/>
    <x v="32"/>
    <n v="1"/>
    <n v="18"/>
    <n v="0"/>
    <n v="0"/>
    <n v="0"/>
    <n v="18"/>
    <n v="0"/>
    <n v="18"/>
    <n v="1"/>
  </r>
  <r>
    <x v="614"/>
    <s v="Regular"/>
    <n v="9352471000753"/>
    <x v="32"/>
    <n v="4"/>
    <n v="70.44"/>
    <n v="0"/>
    <n v="0"/>
    <n v="-11.46"/>
    <n v="58.98"/>
    <n v="5.96"/>
    <n v="64.94"/>
    <n v="4"/>
  </r>
  <r>
    <x v="615"/>
    <s v="Regular"/>
    <n v="5032722306011"/>
    <x v="33"/>
    <n v="1"/>
    <n v="10.7"/>
    <n v="0"/>
    <n v="0"/>
    <n v="-1.41"/>
    <n v="9.2899999999999991"/>
    <n v="0"/>
    <n v="9.2899999999999991"/>
    <n v="1"/>
  </r>
  <r>
    <x v="616"/>
    <s v="Regular"/>
    <n v="9309001779009"/>
    <x v="33"/>
    <n v="1"/>
    <n v="14.25"/>
    <n v="0"/>
    <n v="0"/>
    <n v="-2.85"/>
    <n v="11.4"/>
    <n v="0"/>
    <n v="11.4"/>
    <n v="1"/>
  </r>
  <r>
    <x v="617"/>
    <s v="Regular"/>
    <n v="9415748017653"/>
    <x v="33"/>
    <n v="2"/>
    <n v="14.6"/>
    <n v="0"/>
    <n v="0"/>
    <n v="0"/>
    <n v="14.6"/>
    <n v="0"/>
    <n v="14.6"/>
    <n v="2"/>
  </r>
  <r>
    <x v="618"/>
    <s v="Regular"/>
    <n v="9342935002911"/>
    <x v="34"/>
    <n v="1"/>
    <n v="12.35"/>
    <n v="0"/>
    <n v="0"/>
    <n v="0"/>
    <n v="12.35"/>
    <n v="1.25"/>
    <n v="13.6"/>
    <n v="1"/>
  </r>
  <r>
    <x v="619"/>
    <s v="Regular"/>
    <n v="9333544007442"/>
    <x v="34"/>
    <n v="1"/>
    <n v="40.049999999999997"/>
    <n v="0"/>
    <n v="0"/>
    <n v="0"/>
    <n v="40.049999999999997"/>
    <n v="4.05"/>
    <n v="44.1"/>
    <n v="1"/>
  </r>
  <r>
    <x v="620"/>
    <s v="Regular"/>
    <n v="9321582004530"/>
    <x v="34"/>
    <n v="1"/>
    <n v="11.53"/>
    <n v="0"/>
    <n v="0"/>
    <n v="0"/>
    <n v="11.53"/>
    <n v="1.17"/>
    <n v="12.7"/>
    <n v="1"/>
  </r>
  <r>
    <x v="621"/>
    <s v="Regular"/>
    <n v="9421905637008"/>
    <x v="34"/>
    <n v="1"/>
    <n v="9.58"/>
    <n v="0"/>
    <n v="0"/>
    <n v="0"/>
    <n v="9.58"/>
    <n v="0.97"/>
    <n v="10.55"/>
    <n v="1"/>
  </r>
  <r>
    <x v="622"/>
    <s v="Regular"/>
    <n v="9352471000135"/>
    <x v="34"/>
    <n v="2"/>
    <n v="28.88"/>
    <n v="0"/>
    <n v="0"/>
    <n v="0"/>
    <n v="28.88"/>
    <n v="2.92"/>
    <n v="31.8"/>
    <n v="2"/>
  </r>
  <r>
    <x v="623"/>
    <s v="Regular"/>
    <n v="9352471000166"/>
    <x v="34"/>
    <n v="2"/>
    <n v="58.08"/>
    <n v="0"/>
    <n v="0"/>
    <n v="-3.55"/>
    <n v="54.53"/>
    <n v="5.52"/>
    <n v="60.05"/>
    <n v="2"/>
  </r>
  <r>
    <x v="624"/>
    <s v="Regular"/>
    <n v="9352471000562"/>
    <x v="34"/>
    <n v="1"/>
    <n v="14.44"/>
    <n v="0"/>
    <n v="0"/>
    <n v="0"/>
    <n v="14.44"/>
    <n v="1.46"/>
    <n v="15.9"/>
    <n v="1"/>
  </r>
  <r>
    <x v="625"/>
    <s v="Regular"/>
    <n v="9342935001549"/>
    <x v="34"/>
    <n v="1"/>
    <n v="9.67"/>
    <n v="0"/>
    <n v="0"/>
    <n v="0"/>
    <n v="9.67"/>
    <n v="0.98"/>
    <n v="10.65"/>
    <n v="1"/>
  </r>
  <r>
    <x v="626"/>
    <s v="Regular"/>
    <n v="9342935001396"/>
    <x v="34"/>
    <n v="2"/>
    <n v="30.24"/>
    <n v="0"/>
    <n v="0"/>
    <n v="0"/>
    <n v="30.24"/>
    <n v="3.06"/>
    <n v="33.299999999999997"/>
    <n v="2"/>
  </r>
  <r>
    <x v="627"/>
    <s v="Regular"/>
    <n v="9342935003222"/>
    <x v="34"/>
    <n v="1"/>
    <n v="9.7200000000000006"/>
    <n v="0"/>
    <n v="0"/>
    <n v="0"/>
    <n v="9.7200000000000006"/>
    <n v="0.98"/>
    <n v="10.7"/>
    <n v="1"/>
  </r>
  <r>
    <x v="628"/>
    <s v="Regular"/>
    <n v="9342935003246"/>
    <x v="34"/>
    <n v="2"/>
    <n v="23.12"/>
    <n v="0"/>
    <n v="0"/>
    <n v="-2.52"/>
    <n v="20.6"/>
    <n v="2.08"/>
    <n v="22.68"/>
    <n v="2"/>
  </r>
  <r>
    <x v="629"/>
    <s v="Regular"/>
    <n v="9342935003390"/>
    <x v="34"/>
    <n v="1"/>
    <n v="9.67"/>
    <n v="0"/>
    <n v="0"/>
    <n v="0"/>
    <n v="9.67"/>
    <n v="0.98"/>
    <n v="10.65"/>
    <n v="1"/>
  </r>
  <r>
    <x v="630"/>
    <s v="Regular"/>
    <n v="9352369000070"/>
    <x v="34"/>
    <n v="2"/>
    <n v="9.8000000000000007"/>
    <n v="0"/>
    <n v="0"/>
    <n v="0"/>
    <n v="9.8000000000000007"/>
    <n v="1"/>
    <n v="10.8"/>
    <n v="2"/>
  </r>
  <r>
    <x v="631"/>
    <s v="Regular"/>
    <n v="9369999309503"/>
    <x v="34"/>
    <n v="3"/>
    <n v="5.46"/>
    <n v="0"/>
    <n v="0"/>
    <n v="0"/>
    <n v="5.46"/>
    <n v="0.54"/>
    <n v="6"/>
    <n v="3"/>
  </r>
  <r>
    <x v="632"/>
    <s v="Regular"/>
    <n v="806809696679"/>
    <x v="35"/>
    <n v="23"/>
    <n v="161.91999999999999"/>
    <n v="0"/>
    <n v="0"/>
    <n v="0"/>
    <n v="161.91999999999999"/>
    <n v="16.329999999999998"/>
    <n v="178.25"/>
    <n v="23"/>
  </r>
  <r>
    <x v="633"/>
    <s v="Regular"/>
    <n v="746160782119"/>
    <x v="35"/>
    <n v="1"/>
    <n v="26.49"/>
    <n v="0"/>
    <n v="0"/>
    <n v="-2.89"/>
    <n v="23.6"/>
    <n v="2.36"/>
    <n v="25.96"/>
    <n v="1"/>
  </r>
  <r>
    <x v="634"/>
    <s v="Regular"/>
    <n v="610395775737"/>
    <x v="35"/>
    <n v="4"/>
    <n v="19.96"/>
    <n v="0"/>
    <n v="0"/>
    <n v="0"/>
    <n v="19.96"/>
    <n v="2.04"/>
    <n v="22"/>
    <n v="4"/>
  </r>
  <r>
    <x v="635"/>
    <s v="Regular"/>
    <n v="610395775775"/>
    <x v="35"/>
    <n v="2"/>
    <n v="9.99"/>
    <n v="0"/>
    <n v="0"/>
    <n v="0"/>
    <n v="9.99"/>
    <n v="1.01"/>
    <n v="11"/>
    <n v="2"/>
  </r>
  <r>
    <x v="636"/>
    <s v="Regular"/>
    <n v="610395775744"/>
    <x v="35"/>
    <n v="2"/>
    <n v="9.98"/>
    <n v="0"/>
    <n v="0"/>
    <n v="0"/>
    <n v="9.98"/>
    <n v="1.02"/>
    <n v="11"/>
    <n v="2"/>
  </r>
  <r>
    <x v="637"/>
    <s v="Regular"/>
    <n v="610395775751"/>
    <x v="35"/>
    <n v="4"/>
    <n v="19.989999999999998"/>
    <n v="0"/>
    <n v="0"/>
    <n v="0"/>
    <n v="19.989999999999998"/>
    <n v="2.0099999999999998"/>
    <n v="22"/>
    <n v="4"/>
  </r>
  <r>
    <x v="638"/>
    <s v="Regular"/>
    <n v="610395775805"/>
    <x v="35"/>
    <n v="2"/>
    <n v="9.98"/>
    <n v="0"/>
    <n v="0"/>
    <n v="0"/>
    <n v="9.98"/>
    <n v="1.02"/>
    <n v="11"/>
    <n v="2"/>
  </r>
  <r>
    <x v="639"/>
    <s v="Regular"/>
    <n v="610395775843"/>
    <x v="35"/>
    <n v="4"/>
    <n v="19.989999999999998"/>
    <n v="0"/>
    <n v="0"/>
    <n v="0"/>
    <n v="19.989999999999998"/>
    <n v="2.0099999999999998"/>
    <n v="22"/>
    <n v="4"/>
  </r>
  <r>
    <x v="640"/>
    <s v="Regular"/>
    <n v="610395775812"/>
    <x v="35"/>
    <n v="3"/>
    <n v="15.19"/>
    <n v="0"/>
    <n v="0"/>
    <n v="-2.2000000000000002"/>
    <n v="12.99"/>
    <n v="1.31"/>
    <n v="14.3"/>
    <n v="3"/>
  </r>
  <r>
    <x v="641"/>
    <s v="Regular"/>
    <n v="8437020396028"/>
    <x v="35"/>
    <n v="3"/>
    <n v="35.28"/>
    <n v="0"/>
    <n v="0"/>
    <n v="0"/>
    <n v="35.28"/>
    <n v="3.57"/>
    <n v="38.85"/>
    <n v="3"/>
  </r>
  <r>
    <x v="642"/>
    <s v="Regular"/>
    <n v="8437020396011"/>
    <x v="35"/>
    <n v="2"/>
    <n v="23.52"/>
    <n v="0"/>
    <n v="0"/>
    <n v="0"/>
    <n v="23.52"/>
    <n v="2.38"/>
    <n v="25.9"/>
    <n v="2"/>
  </r>
  <r>
    <x v="643"/>
    <s v="Regular"/>
    <n v="9351412000104"/>
    <x v="35"/>
    <n v="6"/>
    <n v="24.52"/>
    <n v="0"/>
    <n v="0"/>
    <n v="0"/>
    <n v="24.52"/>
    <n v="2.48"/>
    <n v="27"/>
    <n v="6"/>
  </r>
  <r>
    <x v="644"/>
    <s v="Regular"/>
    <n v="9351412000005"/>
    <x v="35"/>
    <n v="1"/>
    <n v="4.09"/>
    <n v="0"/>
    <n v="0"/>
    <n v="0"/>
    <n v="4.09"/>
    <n v="0.41"/>
    <n v="4.5"/>
    <n v="1"/>
  </r>
  <r>
    <x v="645"/>
    <s v="Regular"/>
    <n v="9351412000098"/>
    <x v="35"/>
    <n v="2"/>
    <n v="8.26"/>
    <n v="0"/>
    <n v="0"/>
    <n v="-0.9"/>
    <n v="7.36"/>
    <n v="0.74"/>
    <n v="8.1"/>
    <n v="2"/>
  </r>
  <r>
    <x v="646"/>
    <s v="Regular"/>
    <n v="9351412000029"/>
    <x v="35"/>
    <n v="2"/>
    <n v="8.17"/>
    <n v="0"/>
    <n v="0"/>
    <n v="0"/>
    <n v="8.17"/>
    <n v="0.83"/>
    <n v="9"/>
    <n v="2"/>
  </r>
  <r>
    <x v="647"/>
    <s v="Regular"/>
    <n v="9351412000081"/>
    <x v="35"/>
    <n v="2"/>
    <n v="8.18"/>
    <n v="0"/>
    <n v="0"/>
    <n v="0"/>
    <n v="8.18"/>
    <n v="0.82"/>
    <n v="9"/>
    <n v="2"/>
  </r>
  <r>
    <x v="648"/>
    <s v="Regular"/>
    <n v="9351412000043"/>
    <x v="35"/>
    <n v="3"/>
    <n v="12.26"/>
    <n v="0"/>
    <n v="0"/>
    <n v="0"/>
    <n v="12.26"/>
    <n v="1.24"/>
    <n v="13.5"/>
    <n v="3"/>
  </r>
  <r>
    <x v="649"/>
    <s v="Regular"/>
    <n v="9351412000067"/>
    <x v="35"/>
    <n v="5"/>
    <n v="20.45"/>
    <n v="0"/>
    <n v="0"/>
    <n v="0"/>
    <n v="20.45"/>
    <n v="2.0499999999999998"/>
    <n v="22.5"/>
    <n v="5"/>
  </r>
  <r>
    <x v="650"/>
    <s v="Regular"/>
    <n v="9328808004084"/>
    <x v="35"/>
    <n v="1"/>
    <n v="5.68"/>
    <n v="0"/>
    <n v="0"/>
    <n v="0"/>
    <n v="5.68"/>
    <n v="0.56999999999999995"/>
    <n v="6.25"/>
    <n v="1"/>
  </r>
  <r>
    <x v="651"/>
    <s v="Regular"/>
    <n v="9328808004091"/>
    <x v="35"/>
    <n v="2"/>
    <n v="29.42"/>
    <n v="0"/>
    <n v="0"/>
    <n v="0"/>
    <n v="29.42"/>
    <n v="2.98"/>
    <n v="32.4"/>
    <n v="2"/>
  </r>
  <r>
    <x v="652"/>
    <s v="Regular"/>
    <n v="9328808004275"/>
    <x v="35"/>
    <n v="2"/>
    <n v="11.36"/>
    <n v="0"/>
    <n v="0"/>
    <n v="0"/>
    <n v="11.36"/>
    <n v="1.1399999999999999"/>
    <n v="12.5"/>
    <n v="2"/>
  </r>
  <r>
    <x v="653"/>
    <s v="Regular"/>
    <n v="9328808004053"/>
    <x v="35"/>
    <n v="1"/>
    <n v="5.67"/>
    <n v="0"/>
    <n v="0"/>
    <n v="0"/>
    <n v="5.67"/>
    <n v="0.57999999999999996"/>
    <n v="6.25"/>
    <n v="1"/>
  </r>
  <r>
    <x v="654"/>
    <s v="Regular"/>
    <n v="9421037690162"/>
    <x v="35"/>
    <n v="1"/>
    <n v="5.33"/>
    <n v="0"/>
    <n v="0"/>
    <n v="-1.1499999999999999"/>
    <n v="4.18"/>
    <n v="0.42"/>
    <n v="4.5999999999999996"/>
    <n v="1"/>
  </r>
  <r>
    <x v="655"/>
    <s v="Regular"/>
    <n v="9421037690186"/>
    <x v="35"/>
    <n v="4"/>
    <n v="23.6"/>
    <n v="0"/>
    <n v="0"/>
    <n v="0"/>
    <n v="23.6"/>
    <n v="2.4"/>
    <n v="26"/>
    <n v="4"/>
  </r>
  <r>
    <x v="656"/>
    <s v="Regular"/>
    <n v="769807749122"/>
    <x v="35"/>
    <n v="1"/>
    <n v="7.22"/>
    <n v="0"/>
    <n v="0"/>
    <n v="0"/>
    <n v="7.22"/>
    <n v="0.73"/>
    <n v="7.95"/>
    <n v="1"/>
  </r>
  <r>
    <x v="657"/>
    <s v="Regular"/>
    <n v="787099254858"/>
    <x v="35"/>
    <n v="1"/>
    <n v="7.22"/>
    <n v="0"/>
    <n v="0"/>
    <n v="0"/>
    <n v="7.22"/>
    <n v="0.73"/>
    <n v="7.95"/>
    <n v="1"/>
  </r>
  <r>
    <x v="658"/>
    <s v="Regular"/>
    <n v="787099254933"/>
    <x v="35"/>
    <n v="2"/>
    <n v="14.44"/>
    <n v="0"/>
    <n v="0"/>
    <n v="0"/>
    <n v="14.44"/>
    <n v="1.46"/>
    <n v="15.9"/>
    <n v="2"/>
  </r>
  <r>
    <x v="659"/>
    <s v="Regular"/>
    <n v="787099254926"/>
    <x v="35"/>
    <n v="6"/>
    <n v="43.39"/>
    <n v="0"/>
    <n v="0"/>
    <n v="-0.75"/>
    <n v="42.64"/>
    <n v="4.3099999999999996"/>
    <n v="46.95"/>
    <n v="6"/>
  </r>
  <r>
    <x v="660"/>
    <s v="Regular"/>
    <n v="632556826188"/>
    <x v="35"/>
    <n v="5"/>
    <n v="88.3"/>
    <n v="0"/>
    <n v="0"/>
    <n v="0"/>
    <n v="88.3"/>
    <n v="8.9499999999999993"/>
    <n v="97.25"/>
    <n v="5"/>
  </r>
  <r>
    <x v="661"/>
    <s v="Regular"/>
    <n v="632556826195"/>
    <x v="35"/>
    <n v="2"/>
    <n v="35.32"/>
    <n v="0"/>
    <n v="0"/>
    <n v="0"/>
    <n v="35.32"/>
    <n v="3.58"/>
    <n v="38.9"/>
    <n v="2"/>
  </r>
  <r>
    <x v="662"/>
    <s v="Regular"/>
    <n v="632556826218"/>
    <x v="35"/>
    <n v="1"/>
    <n v="17.78"/>
    <n v="0"/>
    <n v="0"/>
    <n v="-1.22"/>
    <n v="16.559999999999999"/>
    <n v="1.67"/>
    <n v="18.23"/>
    <n v="1"/>
  </r>
  <r>
    <x v="663"/>
    <s v="Regular"/>
    <n v="787099254889"/>
    <x v="35"/>
    <n v="1"/>
    <n v="7.22"/>
    <n v="0"/>
    <n v="0"/>
    <n v="0"/>
    <n v="7.22"/>
    <n v="0.73"/>
    <n v="7.95"/>
    <n v="1"/>
  </r>
  <r>
    <x v="664"/>
    <s v="Regular"/>
    <n v="787099254841"/>
    <x v="35"/>
    <n v="4"/>
    <n v="28.95"/>
    <n v="0"/>
    <n v="0"/>
    <n v="-0.75"/>
    <n v="28.2"/>
    <n v="2.85"/>
    <n v="31.05"/>
    <n v="4"/>
  </r>
  <r>
    <x v="665"/>
    <s v="Regular"/>
    <n v="9339337305658"/>
    <x v="36"/>
    <n v="2"/>
    <n v="10.7"/>
    <n v="0"/>
    <n v="0"/>
    <n v="0"/>
    <n v="10.7"/>
    <n v="0"/>
    <n v="10.7"/>
    <n v="2"/>
  </r>
  <r>
    <x v="666"/>
    <s v="Regular"/>
    <n v="9339337307157"/>
    <x v="36"/>
    <n v="2"/>
    <n v="13.9"/>
    <n v="0"/>
    <n v="0"/>
    <n v="0"/>
    <n v="13.9"/>
    <n v="0"/>
    <n v="13.9"/>
    <n v="2"/>
  </r>
  <r>
    <x v="667"/>
    <s v="Regular"/>
    <n v="9312336039601"/>
    <x v="36"/>
    <n v="1"/>
    <n v="8.25"/>
    <n v="0"/>
    <n v="0"/>
    <n v="0"/>
    <n v="8.25"/>
    <n v="0"/>
    <n v="8.25"/>
    <n v="1"/>
  </r>
  <r>
    <x v="668"/>
    <s v="Regular"/>
    <n v="9312336013076"/>
    <x v="36"/>
    <n v="1"/>
    <n v="15.35"/>
    <n v="0"/>
    <n v="0"/>
    <n v="0"/>
    <n v="15.35"/>
    <n v="0"/>
    <n v="15.35"/>
    <n v="1"/>
  </r>
  <r>
    <x v="669"/>
    <s v="Regular"/>
    <n v="9312336013373"/>
    <x v="36"/>
    <n v="1"/>
    <n v="15.75"/>
    <n v="0"/>
    <n v="0"/>
    <n v="0"/>
    <n v="15.75"/>
    <n v="0"/>
    <n v="15.75"/>
    <n v="1"/>
  </r>
  <r>
    <x v="670"/>
    <s v="Regular"/>
    <n v="9312336142516"/>
    <x v="36"/>
    <n v="1"/>
    <n v="5.2"/>
    <n v="0"/>
    <n v="0"/>
    <n v="0"/>
    <n v="5.2"/>
    <n v="0"/>
    <n v="5.2"/>
    <n v="1"/>
  </r>
  <r>
    <x v="671"/>
    <s v="Regular"/>
    <n v="9312336037423"/>
    <x v="36"/>
    <n v="1"/>
    <n v="9.9499999999999993"/>
    <n v="0"/>
    <n v="0"/>
    <n v="0"/>
    <n v="9.9499999999999993"/>
    <n v="0"/>
    <n v="9.9499999999999993"/>
    <n v="1"/>
  </r>
  <r>
    <x v="672"/>
    <s v="Regular"/>
    <n v="74261281065"/>
    <x v="36"/>
    <n v="1"/>
    <n v="11.3"/>
    <n v="0"/>
    <n v="0"/>
    <n v="0"/>
    <n v="11.3"/>
    <n v="0"/>
    <n v="11.3"/>
    <n v="1"/>
  </r>
  <r>
    <x v="673"/>
    <s v="Regular"/>
    <n v="74261282109"/>
    <x v="36"/>
    <n v="1"/>
    <n v="13.6"/>
    <n v="0"/>
    <n v="0"/>
    <n v="0"/>
    <n v="13.6"/>
    <n v="0"/>
    <n v="13.6"/>
    <n v="1"/>
  </r>
  <r>
    <x v="674"/>
    <s v="Regular"/>
    <n v="9351857006402"/>
    <x v="37"/>
    <n v="1"/>
    <n v="19.25"/>
    <n v="0"/>
    <n v="0"/>
    <n v="-3.85"/>
    <n v="15.4"/>
    <n v="0"/>
    <n v="15.4"/>
    <n v="1"/>
  </r>
  <r>
    <x v="675"/>
    <s v="Regular"/>
    <n v="9369999062606"/>
    <x v="38"/>
    <n v="1"/>
    <n v="25.35"/>
    <n v="0"/>
    <n v="0"/>
    <n v="0"/>
    <n v="25.35"/>
    <n v="0"/>
    <n v="25.35"/>
    <n v="1"/>
  </r>
  <r>
    <x v="676"/>
    <s v="Regular"/>
    <n v="683405832379"/>
    <x v="38"/>
    <n v="1"/>
    <n v="32.200000000000003"/>
    <n v="0"/>
    <n v="0"/>
    <n v="0"/>
    <n v="32.200000000000003"/>
    <n v="0"/>
    <n v="32.200000000000003"/>
    <n v="1"/>
  </r>
  <r>
    <x v="677"/>
    <s v="Regular"/>
    <n v="868034000294"/>
    <x v="38"/>
    <n v="3"/>
    <n v="89.69"/>
    <n v="0"/>
    <n v="0"/>
    <n v="-31.85"/>
    <n v="57.84"/>
    <n v="5.86"/>
    <n v="63.7"/>
    <n v="3"/>
  </r>
  <r>
    <x v="678"/>
    <s v="Regular"/>
    <n v="9351857002510"/>
    <x v="38"/>
    <n v="1"/>
    <n v="47.75"/>
    <n v="0"/>
    <n v="0"/>
    <n v="-17.190000000000001"/>
    <n v="30.56"/>
    <n v="0"/>
    <n v="30.56"/>
    <n v="1"/>
  </r>
  <r>
    <x v="679"/>
    <s v="Regular"/>
    <n v="793573297105"/>
    <x v="38"/>
    <n v="1"/>
    <n v="71.95"/>
    <n v="0"/>
    <n v="0"/>
    <n v="0"/>
    <n v="71.95"/>
    <n v="0"/>
    <n v="71.95"/>
    <n v="1"/>
  </r>
  <r>
    <x v="680"/>
    <s v="Regular"/>
    <s v="108731F"/>
    <x v="38"/>
    <n v="2"/>
    <n v="99.5"/>
    <n v="0"/>
    <n v="0"/>
    <n v="0"/>
    <n v="99.5"/>
    <n v="0"/>
    <n v="99.5"/>
    <n v="2"/>
  </r>
  <r>
    <x v="681"/>
    <s v="Regular"/>
    <n v="9341252000679"/>
    <x v="39"/>
    <n v="1"/>
    <n v="18.5"/>
    <n v="0"/>
    <n v="0"/>
    <n v="0"/>
    <n v="18.5"/>
    <n v="0"/>
    <n v="18.5"/>
    <n v="1"/>
  </r>
  <r>
    <x v="682"/>
    <s v="Regular"/>
    <n v="9341252000037"/>
    <x v="39"/>
    <n v="1"/>
    <n v="18.45"/>
    <n v="0"/>
    <n v="0"/>
    <n v="0"/>
    <n v="18.45"/>
    <n v="0"/>
    <n v="18.45"/>
    <n v="1"/>
  </r>
  <r>
    <x v="683"/>
    <s v="Regular"/>
    <n v="9358294000154"/>
    <x v="39"/>
    <n v="3"/>
    <n v="18.75"/>
    <n v="0"/>
    <n v="0"/>
    <n v="0"/>
    <n v="18.75"/>
    <n v="0"/>
    <n v="18.75"/>
    <n v="3"/>
  </r>
  <r>
    <x v="684"/>
    <s v="Regular"/>
    <n v="9341252000419"/>
    <x v="39"/>
    <n v="2"/>
    <n v="37.9"/>
    <n v="0"/>
    <n v="0"/>
    <n v="0"/>
    <n v="37.9"/>
    <n v="0"/>
    <n v="37.9"/>
    <n v="2"/>
  </r>
  <r>
    <x v="685"/>
    <s v="Regular"/>
    <n v="9341252000433"/>
    <x v="39"/>
    <n v="1"/>
    <n v="18.95"/>
    <n v="0"/>
    <n v="0"/>
    <n v="0"/>
    <n v="18.95"/>
    <n v="0"/>
    <n v="18.95"/>
    <n v="1"/>
  </r>
  <r>
    <x v="686"/>
    <s v="Regular"/>
    <s v="W685813"/>
    <x v="39"/>
    <n v="3"/>
    <n v="35.94"/>
    <n v="0"/>
    <n v="0"/>
    <n v="0"/>
    <n v="35.94"/>
    <n v="0"/>
    <n v="35.94"/>
    <n v="3"/>
  </r>
  <r>
    <x v="687"/>
    <s v="Regular"/>
    <n v="285010"/>
    <x v="39"/>
    <n v="4"/>
    <n v="87.48"/>
    <n v="0"/>
    <n v="0"/>
    <n v="0"/>
    <n v="87.48"/>
    <n v="0"/>
    <n v="87.48"/>
    <n v="4"/>
  </r>
  <r>
    <x v="688"/>
    <s v="Regular"/>
    <n v="2862741017505"/>
    <x v="39"/>
    <n v="3"/>
    <n v="52.5"/>
    <n v="0"/>
    <n v="0"/>
    <n v="-3.53"/>
    <n v="48.97"/>
    <n v="0"/>
    <n v="48.97"/>
    <n v="3"/>
  </r>
  <r>
    <x v="689"/>
    <s v="Regular"/>
    <n v="28500180"/>
    <x v="39"/>
    <n v="9"/>
    <n v="89.23"/>
    <n v="0"/>
    <n v="0"/>
    <n v="-0.76"/>
    <n v="88.47"/>
    <n v="0"/>
    <n v="88.47"/>
    <n v="9"/>
  </r>
  <r>
    <x v="690"/>
    <s v="Regular"/>
    <n v="286085"/>
    <x v="39"/>
    <n v="1"/>
    <n v="15.6"/>
    <n v="0"/>
    <n v="0"/>
    <n v="0"/>
    <n v="15.6"/>
    <n v="0"/>
    <n v="15.6"/>
    <n v="1"/>
  </r>
  <r>
    <x v="691"/>
    <s v="Regular"/>
    <n v="285007"/>
    <x v="39"/>
    <n v="6"/>
    <n v="78.39"/>
    <n v="0"/>
    <n v="0"/>
    <n v="-6.45"/>
    <n v="71.94"/>
    <n v="0"/>
    <n v="71.94"/>
    <n v="6"/>
  </r>
  <r>
    <x v="692"/>
    <s v="Regular"/>
    <n v="286282001335"/>
    <x v="39"/>
    <n v="2"/>
    <n v="19.14"/>
    <n v="0"/>
    <n v="0"/>
    <n v="0"/>
    <n v="19.14"/>
    <n v="0"/>
    <n v="19.14"/>
    <n v="2"/>
  </r>
  <r>
    <x v="693"/>
    <s v="Regular"/>
    <n v="8544419"/>
    <x v="39"/>
    <n v="8"/>
    <n v="119.92"/>
    <n v="0"/>
    <n v="0"/>
    <n v="-4.91"/>
    <n v="115.01"/>
    <n v="0"/>
    <n v="115.01"/>
    <n v="8"/>
  </r>
  <r>
    <x v="694"/>
    <s v="Regular"/>
    <n v="5805339"/>
    <x v="39"/>
    <n v="4"/>
    <n v="46.68"/>
    <n v="0"/>
    <n v="0"/>
    <n v="-1.18"/>
    <n v="45.5"/>
    <n v="0"/>
    <n v="45.5"/>
    <n v="4"/>
  </r>
  <r>
    <x v="695"/>
    <s v="Regular"/>
    <s v="663660P"/>
    <x v="39"/>
    <n v="2"/>
    <n v="26.88"/>
    <n v="0"/>
    <n v="0"/>
    <n v="0"/>
    <n v="26.88"/>
    <n v="0"/>
    <n v="26.88"/>
    <n v="2"/>
  </r>
  <r>
    <x v="696"/>
    <s v="Regular"/>
    <s v="J593789"/>
    <x v="39"/>
    <n v="2"/>
    <n v="36.14"/>
    <n v="0"/>
    <n v="0"/>
    <n v="0"/>
    <n v="36.14"/>
    <n v="0"/>
    <n v="36.14"/>
    <n v="2"/>
  </r>
  <r>
    <x v="697"/>
    <s v="Regular"/>
    <n v="9356204001154"/>
    <x v="39"/>
    <n v="2"/>
    <n v="19"/>
    <n v="0"/>
    <n v="0"/>
    <n v="0"/>
    <n v="19"/>
    <n v="0"/>
    <n v="19"/>
    <n v="2"/>
  </r>
  <r>
    <x v="698"/>
    <s v="Regular"/>
    <n v="285009"/>
    <x v="39"/>
    <n v="4"/>
    <n v="77.849999999999994"/>
    <n v="0"/>
    <n v="0"/>
    <n v="0"/>
    <n v="77.849999999999994"/>
    <n v="0"/>
    <n v="77.849999999999994"/>
    <n v="4"/>
  </r>
  <r>
    <x v="699"/>
    <s v="Regular"/>
    <n v="9339337001383"/>
    <x v="40"/>
    <n v="2"/>
    <n v="16.899999999999999"/>
    <n v="0"/>
    <n v="0"/>
    <n v="0"/>
    <n v="16.899999999999999"/>
    <n v="0"/>
    <n v="16.899999999999999"/>
    <n v="2"/>
  </r>
  <r>
    <x v="700"/>
    <s v="Regular"/>
    <n v="9345943000016"/>
    <x v="40"/>
    <n v="2"/>
    <n v="54.4"/>
    <n v="0"/>
    <n v="0"/>
    <n v="0"/>
    <n v="54.4"/>
    <n v="0"/>
    <n v="54.4"/>
    <n v="2"/>
  </r>
  <r>
    <x v="701"/>
    <s v="Regular"/>
    <n v="9339944006610"/>
    <x v="40"/>
    <n v="2"/>
    <n v="36.799999999999997"/>
    <n v="0"/>
    <n v="0"/>
    <n v="0"/>
    <n v="36.799999999999997"/>
    <n v="0"/>
    <n v="36.799999999999997"/>
    <n v="2"/>
  </r>
  <r>
    <x v="702"/>
    <s v="Regular"/>
    <n v="9421906844368"/>
    <x v="40"/>
    <n v="1"/>
    <n v="9.5"/>
    <n v="0"/>
    <n v="0"/>
    <n v="0"/>
    <n v="9.5"/>
    <n v="0"/>
    <n v="9.5"/>
    <n v="1"/>
  </r>
  <r>
    <x v="703"/>
    <s v="Regular"/>
    <n v="9327013009600"/>
    <x v="40"/>
    <n v="1"/>
    <n v="27.8"/>
    <n v="0"/>
    <n v="0"/>
    <n v="0"/>
    <n v="27.8"/>
    <n v="0"/>
    <n v="27.8"/>
    <n v="1"/>
  </r>
  <r>
    <x v="704"/>
    <s v="Regular"/>
    <n v="9311964003251"/>
    <x v="40"/>
    <n v="1"/>
    <n v="14"/>
    <n v="0"/>
    <n v="0"/>
    <n v="0"/>
    <n v="14"/>
    <n v="0"/>
    <n v="14"/>
    <n v="1"/>
  </r>
  <r>
    <x v="705"/>
    <s v="Regular"/>
    <n v="9312336771099"/>
    <x v="40"/>
    <n v="3"/>
    <n v="33.299999999999997"/>
    <n v="-1"/>
    <n v="-11.1"/>
    <n v="0"/>
    <n v="22.2"/>
    <n v="0"/>
    <n v="22.2"/>
    <n v="3"/>
  </r>
  <r>
    <x v="706"/>
    <s v="Regular"/>
    <n v="9339337302695"/>
    <x v="40"/>
    <n v="1"/>
    <n v="102"/>
    <n v="0"/>
    <n v="0"/>
    <n v="-15.3"/>
    <n v="86.7"/>
    <n v="0"/>
    <n v="86.7"/>
    <n v="1"/>
  </r>
  <r>
    <x v="707"/>
    <s v="Regular"/>
    <n v="9369999929367"/>
    <x v="40"/>
    <n v="3"/>
    <n v="40.049999999999997"/>
    <n v="0"/>
    <n v="0"/>
    <n v="0"/>
    <n v="40.049999999999997"/>
    <n v="0"/>
    <n v="40.049999999999997"/>
    <n v="3"/>
  </r>
  <r>
    <x v="708"/>
    <s v="Regular"/>
    <m/>
    <x v="41"/>
    <n v="42"/>
    <n v="18.95"/>
    <n v="0"/>
    <n v="0"/>
    <n v="-0.2"/>
    <n v="18.75"/>
    <n v="2.0499999999999998"/>
    <n v="20.8"/>
    <n v="42"/>
  </r>
  <r>
    <x v="709"/>
    <s v="Regular"/>
    <n v="9415748019305"/>
    <x v="42"/>
    <n v="1"/>
    <n v="10.7"/>
    <n v="0"/>
    <n v="0"/>
    <n v="0"/>
    <n v="10.7"/>
    <n v="0"/>
    <n v="10.7"/>
    <n v="1"/>
  </r>
  <r>
    <x v="710"/>
    <s v="Regular"/>
    <n v="9339944007624"/>
    <x v="42"/>
    <n v="4"/>
    <n v="11.6"/>
    <n v="0"/>
    <n v="0"/>
    <n v="0"/>
    <n v="11.6"/>
    <n v="0"/>
    <n v="11.6"/>
    <n v="4"/>
  </r>
  <r>
    <x v="711"/>
    <s v="Regular"/>
    <n v="9339944007686"/>
    <x v="42"/>
    <n v="3"/>
    <n v="15.3"/>
    <n v="0"/>
    <n v="0"/>
    <n v="0"/>
    <n v="15.3"/>
    <n v="0"/>
    <n v="15.3"/>
    <n v="3"/>
  </r>
  <r>
    <x v="712"/>
    <s v="Regular"/>
    <n v="9339944007693"/>
    <x v="42"/>
    <n v="1"/>
    <n v="5.6"/>
    <n v="0"/>
    <n v="0"/>
    <n v="0"/>
    <n v="5.6"/>
    <n v="0"/>
    <n v="5.6"/>
    <n v="1"/>
  </r>
  <r>
    <x v="713"/>
    <s v="Regular"/>
    <n v="9312336790007"/>
    <x v="42"/>
    <n v="2"/>
    <n v="12.4"/>
    <n v="0"/>
    <n v="0"/>
    <n v="-0.46"/>
    <n v="11.94"/>
    <n v="0"/>
    <n v="11.94"/>
    <n v="2"/>
  </r>
  <r>
    <x v="714"/>
    <s v="Regular"/>
    <n v="9312336790038"/>
    <x v="42"/>
    <n v="1"/>
    <n v="6.2"/>
    <n v="0"/>
    <n v="0"/>
    <n v="0"/>
    <n v="6.2"/>
    <n v="0"/>
    <n v="6.2"/>
    <n v="1"/>
  </r>
  <r>
    <x v="715"/>
    <s v="Regular"/>
    <n v="9312336760024"/>
    <x v="42"/>
    <n v="1"/>
    <n v="13.6"/>
    <n v="0"/>
    <n v="0"/>
    <n v="0"/>
    <n v="13.6"/>
    <n v="0"/>
    <n v="13.6"/>
    <n v="1"/>
  </r>
  <r>
    <x v="716"/>
    <s v="Regular"/>
    <n v="4018722302599"/>
    <x v="43"/>
    <n v="1"/>
    <n v="6.95"/>
    <n v="0"/>
    <n v="0"/>
    <n v="0"/>
    <n v="6.95"/>
    <n v="0"/>
    <n v="6.95"/>
    <n v="1"/>
  </r>
  <r>
    <x v="717"/>
    <s v="Regular"/>
    <n v="4018722302575"/>
    <x v="43"/>
    <n v="1"/>
    <n v="6.95"/>
    <n v="0"/>
    <n v="0"/>
    <n v="0"/>
    <n v="6.95"/>
    <n v="0"/>
    <n v="6.95"/>
    <n v="1"/>
  </r>
  <r>
    <x v="718"/>
    <s v="Regular"/>
    <n v="9313161006295"/>
    <x v="43"/>
    <n v="1"/>
    <n v="9.4499999999999993"/>
    <n v="0"/>
    <n v="0"/>
    <n v="0"/>
    <n v="9.4499999999999993"/>
    <n v="0"/>
    <n v="9.4499999999999993"/>
    <n v="1"/>
  </r>
  <r>
    <x v="719"/>
    <s v="Regular"/>
    <n v="9313161006301"/>
    <x v="43"/>
    <n v="1"/>
    <n v="9.4499999999999993"/>
    <n v="0"/>
    <n v="0"/>
    <n v="0"/>
    <n v="9.4499999999999993"/>
    <n v="0"/>
    <n v="9.4499999999999993"/>
    <n v="1"/>
  </r>
  <r>
    <x v="720"/>
    <s v="Regular"/>
    <n v="9313161006523"/>
    <x v="43"/>
    <n v="1"/>
    <n v="8.25"/>
    <n v="0"/>
    <n v="0"/>
    <n v="0"/>
    <n v="8.25"/>
    <n v="0"/>
    <n v="8.25"/>
    <n v="1"/>
  </r>
  <r>
    <x v="721"/>
    <s v="Regular"/>
    <n v="9319934510006"/>
    <x v="43"/>
    <n v="2"/>
    <n v="7.4"/>
    <n v="0"/>
    <n v="0"/>
    <n v="-0.8"/>
    <n v="6.6"/>
    <n v="0"/>
    <n v="6.6"/>
    <n v="2"/>
  </r>
  <r>
    <x v="722"/>
    <s v="Regular"/>
    <n v="9319934560001"/>
    <x v="43"/>
    <n v="1"/>
    <n v="4.95"/>
    <n v="0"/>
    <n v="0"/>
    <n v="0"/>
    <n v="4.95"/>
    <n v="0"/>
    <n v="4.95"/>
    <n v="1"/>
  </r>
  <r>
    <x v="723"/>
    <s v="Regular"/>
    <n v="9319934580009"/>
    <x v="43"/>
    <n v="1"/>
    <n v="4.95"/>
    <n v="0"/>
    <n v="0"/>
    <n v="0"/>
    <n v="4.95"/>
    <n v="0"/>
    <n v="4.95"/>
    <n v="1"/>
  </r>
  <r>
    <x v="724"/>
    <s v="Regular"/>
    <n v="9415748007869"/>
    <x v="43"/>
    <n v="3"/>
    <n v="22.2"/>
    <n v="0"/>
    <n v="0"/>
    <n v="-0.18"/>
    <n v="22.02"/>
    <n v="0"/>
    <n v="22.02"/>
    <n v="3"/>
  </r>
  <r>
    <x v="725"/>
    <s v="Regular"/>
    <n v="9415748014119"/>
    <x v="43"/>
    <n v="2"/>
    <n v="14"/>
    <n v="0"/>
    <n v="0"/>
    <n v="0"/>
    <n v="14"/>
    <n v="0"/>
    <n v="14"/>
    <n v="2"/>
  </r>
  <r>
    <x v="726"/>
    <s v="Regular"/>
    <n v="9415748014126"/>
    <x v="43"/>
    <n v="1"/>
    <n v="7.5"/>
    <n v="0"/>
    <n v="0"/>
    <n v="0"/>
    <n v="7.5"/>
    <n v="0"/>
    <n v="7.5"/>
    <n v="1"/>
  </r>
  <r>
    <x v="727"/>
    <s v="Regular"/>
    <n v="9339944019870"/>
    <x v="43"/>
    <n v="2"/>
    <n v="11.7"/>
    <n v="0"/>
    <n v="0"/>
    <n v="-5.85"/>
    <n v="5.85"/>
    <n v="0"/>
    <n v="5.85"/>
    <n v="2"/>
  </r>
  <r>
    <x v="728"/>
    <s v="Regular"/>
    <n v="619286608000"/>
    <x v="43"/>
    <n v="2"/>
    <n v="19"/>
    <n v="0"/>
    <n v="0"/>
    <n v="0"/>
    <n v="19"/>
    <n v="0"/>
    <n v="19"/>
    <n v="2"/>
  </r>
  <r>
    <x v="729"/>
    <s v="Regular"/>
    <n v="619286609076"/>
    <x v="43"/>
    <n v="1"/>
    <n v="10.6"/>
    <n v="0"/>
    <n v="0"/>
    <n v="0"/>
    <n v="10.6"/>
    <n v="0"/>
    <n v="10.6"/>
    <n v="1"/>
  </r>
  <r>
    <x v="730"/>
    <s v="Regular"/>
    <n v="9342453000079"/>
    <x v="43"/>
    <n v="2"/>
    <n v="21.1"/>
    <n v="0"/>
    <n v="0"/>
    <n v="0"/>
    <n v="21.1"/>
    <n v="0"/>
    <n v="21.1"/>
    <n v="2"/>
  </r>
  <r>
    <x v="731"/>
    <s v="Regular"/>
    <n v="9342453000208"/>
    <x v="43"/>
    <n v="2"/>
    <n v="21.2"/>
    <n v="0"/>
    <n v="0"/>
    <n v="0"/>
    <n v="21.2"/>
    <n v="0"/>
    <n v="21.2"/>
    <n v="2"/>
  </r>
  <r>
    <x v="732"/>
    <s v="Regular"/>
    <n v="9336595009021"/>
    <x v="43"/>
    <n v="1"/>
    <n v="9"/>
    <n v="0"/>
    <n v="0"/>
    <n v="0"/>
    <n v="9"/>
    <n v="0"/>
    <n v="9"/>
    <n v="1"/>
  </r>
  <r>
    <x v="733"/>
    <s v="Regular"/>
    <n v="9336595000608"/>
    <x v="43"/>
    <n v="1"/>
    <n v="7.9"/>
    <n v="0"/>
    <n v="0"/>
    <n v="0"/>
    <n v="7.9"/>
    <n v="0"/>
    <n v="7.9"/>
    <n v="1"/>
  </r>
  <r>
    <x v="734"/>
    <s v="Regular"/>
    <n v="9336595000615"/>
    <x v="43"/>
    <n v="5"/>
    <n v="39.5"/>
    <n v="0"/>
    <n v="0"/>
    <n v="0"/>
    <n v="39.5"/>
    <n v="0"/>
    <n v="39.5"/>
    <n v="5"/>
  </r>
  <r>
    <x v="735"/>
    <s v="Regular"/>
    <n v="9336595000509"/>
    <x v="43"/>
    <n v="2"/>
    <n v="16.399999999999999"/>
    <n v="0"/>
    <n v="0"/>
    <n v="0"/>
    <n v="16.399999999999999"/>
    <n v="0"/>
    <n v="16.399999999999999"/>
    <n v="2"/>
  </r>
  <r>
    <x v="736"/>
    <s v="Regular"/>
    <n v="9336595000516"/>
    <x v="43"/>
    <n v="3"/>
    <n v="24.6"/>
    <n v="0"/>
    <n v="0"/>
    <n v="-1.78"/>
    <n v="22.82"/>
    <n v="0"/>
    <n v="22.82"/>
    <n v="3"/>
  </r>
  <r>
    <x v="737"/>
    <s v="Regular"/>
    <n v="9356578000654"/>
    <x v="43"/>
    <n v="2"/>
    <n v="35.700000000000003"/>
    <n v="0"/>
    <n v="0"/>
    <n v="-15.45"/>
    <n v="20.25"/>
    <n v="0"/>
    <n v="20.25"/>
    <n v="2"/>
  </r>
  <r>
    <x v="738"/>
    <s v="Regular"/>
    <n v="8051764324538"/>
    <x v="43"/>
    <n v="1"/>
    <n v="8.1999999999999993"/>
    <n v="0"/>
    <n v="0"/>
    <n v="0"/>
    <n v="8.1999999999999993"/>
    <n v="0"/>
    <n v="8.1999999999999993"/>
    <n v="1"/>
  </r>
  <r>
    <x v="739"/>
    <s v="Regular"/>
    <n v="8051764324378"/>
    <x v="43"/>
    <n v="1"/>
    <n v="8.1999999999999993"/>
    <n v="0"/>
    <n v="0"/>
    <n v="0"/>
    <n v="8.1999999999999993"/>
    <n v="0"/>
    <n v="8.1999999999999993"/>
    <n v="1"/>
  </r>
  <r>
    <x v="740"/>
    <s v="Regular"/>
    <n v="9312336022344"/>
    <x v="43"/>
    <n v="1"/>
    <n v="7"/>
    <n v="0"/>
    <n v="0"/>
    <n v="0"/>
    <n v="7"/>
    <n v="0"/>
    <n v="7"/>
    <n v="1"/>
  </r>
  <r>
    <x v="741"/>
    <s v="Regular"/>
    <n v="9312336022405"/>
    <x v="43"/>
    <n v="2"/>
    <n v="11.8"/>
    <n v="0"/>
    <n v="0"/>
    <n v="-0.26"/>
    <n v="11.54"/>
    <n v="0"/>
    <n v="11.54"/>
    <n v="2"/>
  </r>
  <r>
    <x v="742"/>
    <s v="Regular"/>
    <n v="9312336020166"/>
    <x v="43"/>
    <n v="2"/>
    <n v="20.6"/>
    <n v="0"/>
    <n v="0"/>
    <n v="0"/>
    <n v="20.6"/>
    <n v="0"/>
    <n v="20.6"/>
    <n v="2"/>
  </r>
  <r>
    <x v="743"/>
    <s v="Regular"/>
    <n v="9312336065006"/>
    <x v="43"/>
    <n v="1"/>
    <n v="5.45"/>
    <n v="0"/>
    <n v="0"/>
    <n v="0"/>
    <n v="5.45"/>
    <n v="0"/>
    <n v="5.45"/>
    <n v="1"/>
  </r>
  <r>
    <x v="744"/>
    <s v="Regular"/>
    <n v="9324794000987"/>
    <x v="43"/>
    <n v="2"/>
    <n v="31.8"/>
    <n v="-2"/>
    <n v="-31.8"/>
    <n v="0"/>
    <n v="0"/>
    <n v="0"/>
    <n v="0"/>
    <n v="2"/>
  </r>
  <r>
    <x v="745"/>
    <s v="Regular"/>
    <n v="9348100000027"/>
    <x v="43"/>
    <n v="1"/>
    <n v="4.5"/>
    <n v="0"/>
    <n v="0"/>
    <n v="-0.11"/>
    <n v="4.3899999999999997"/>
    <n v="0"/>
    <n v="4.3899999999999997"/>
    <n v="1"/>
  </r>
  <r>
    <x v="746"/>
    <s v="Regular"/>
    <n v="9348100000058"/>
    <x v="43"/>
    <n v="2"/>
    <n v="9"/>
    <n v="0"/>
    <n v="0"/>
    <n v="0"/>
    <n v="9"/>
    <n v="0"/>
    <n v="9"/>
    <n v="2"/>
  </r>
  <r>
    <x v="747"/>
    <s v="Regular"/>
    <n v="9348100000102"/>
    <x v="43"/>
    <n v="1"/>
    <n v="31.85"/>
    <n v="0"/>
    <n v="0"/>
    <n v="-15.92"/>
    <n v="15.93"/>
    <n v="0"/>
    <n v="15.93"/>
    <n v="1"/>
  </r>
  <r>
    <x v="748"/>
    <s v="Regular"/>
    <n v="5029354012588"/>
    <x v="44"/>
    <n v="1"/>
    <n v="12.49"/>
    <n v="0"/>
    <n v="0"/>
    <n v="0"/>
    <n v="12.49"/>
    <n v="1.26"/>
    <n v="13.75"/>
    <n v="1"/>
  </r>
  <r>
    <x v="749"/>
    <s v="Regular"/>
    <n v="5029354002930"/>
    <x v="44"/>
    <n v="1"/>
    <n v="12.49"/>
    <n v="0"/>
    <n v="0"/>
    <n v="0"/>
    <n v="12.49"/>
    <n v="1.26"/>
    <n v="13.75"/>
    <n v="1"/>
  </r>
  <r>
    <x v="750"/>
    <s v="Regular"/>
    <n v="9369998064557"/>
    <x v="44"/>
    <n v="1"/>
    <n v="88"/>
    <n v="-1"/>
    <n v="-88"/>
    <n v="0"/>
    <n v="0"/>
    <n v="0"/>
    <n v="0"/>
    <n v="1"/>
  </r>
  <r>
    <x v="751"/>
    <s v="Regular"/>
    <n v="9369900010627"/>
    <x v="44"/>
    <n v="1"/>
    <n v="55.35"/>
    <n v="0"/>
    <n v="0"/>
    <n v="0"/>
    <n v="55.35"/>
    <n v="5.6"/>
    <n v="60.95"/>
    <n v="1"/>
  </r>
  <r>
    <x v="752"/>
    <s v="Regular"/>
    <n v="9369998267873"/>
    <x v="44"/>
    <n v="1"/>
    <n v="69.48"/>
    <n v="0"/>
    <n v="0"/>
    <n v="0"/>
    <n v="69.48"/>
    <n v="7.02"/>
    <n v="76.5"/>
    <n v="1"/>
  </r>
  <r>
    <x v="753"/>
    <s v="Regular"/>
    <n v="694536823037"/>
    <x v="44"/>
    <n v="1"/>
    <n v="46.65"/>
    <n v="0"/>
    <n v="0"/>
    <n v="0"/>
    <n v="46.65"/>
    <n v="0"/>
    <n v="46.65"/>
    <n v="1"/>
  </r>
  <r>
    <x v="754"/>
    <s v="Regular"/>
    <n v="9347246000106"/>
    <x v="44"/>
    <n v="3"/>
    <n v="56.95"/>
    <n v="0"/>
    <n v="0"/>
    <n v="0"/>
    <n v="56.95"/>
    <n v="5.75"/>
    <n v="62.7"/>
    <n v="3"/>
  </r>
  <r>
    <x v="755"/>
    <s v="Regular"/>
    <n v="9347246003596"/>
    <x v="44"/>
    <n v="1"/>
    <n v="21.57"/>
    <n v="0"/>
    <n v="0"/>
    <n v="0"/>
    <n v="21.57"/>
    <n v="2.1800000000000002"/>
    <n v="23.75"/>
    <n v="1"/>
  </r>
  <r>
    <x v="756"/>
    <s v="Regular"/>
    <n v="861226000003"/>
    <x v="44"/>
    <n v="1"/>
    <n v="19.36"/>
    <n v="0"/>
    <n v="0"/>
    <n v="-1.1599999999999999"/>
    <n v="18.2"/>
    <n v="1.84"/>
    <n v="20.04"/>
    <n v="1"/>
  </r>
  <r>
    <x v="757"/>
    <s v="Regular"/>
    <n v="850046443114"/>
    <x v="44"/>
    <n v="1"/>
    <n v="19.25"/>
    <n v="0"/>
    <n v="0"/>
    <n v="0"/>
    <n v="19.25"/>
    <n v="1.95"/>
    <n v="21.2"/>
    <n v="1"/>
  </r>
  <r>
    <x v="758"/>
    <s v="Regular"/>
    <n v="60210133"/>
    <x v="44"/>
    <n v="2"/>
    <n v="31.19"/>
    <n v="0"/>
    <n v="0"/>
    <n v="-3.4"/>
    <n v="27.79"/>
    <n v="2.81"/>
    <n v="30.6"/>
    <n v="2"/>
  </r>
  <r>
    <x v="759"/>
    <s v="Regular"/>
    <n v="18787980019"/>
    <x v="44"/>
    <n v="1"/>
    <n v="25.02"/>
    <n v="0"/>
    <n v="0"/>
    <n v="0"/>
    <n v="25.02"/>
    <n v="2.5299999999999998"/>
    <n v="27.55"/>
    <n v="1"/>
  </r>
  <r>
    <x v="760"/>
    <s v="Regular"/>
    <n v="806809663831"/>
    <x v="44"/>
    <n v="1"/>
    <n v="17.8"/>
    <n v="0"/>
    <n v="0"/>
    <n v="0"/>
    <n v="17.8"/>
    <n v="0"/>
    <n v="17.8"/>
    <n v="1"/>
  </r>
  <r>
    <x v="761"/>
    <s v="Regular"/>
    <n v="5060391844213"/>
    <x v="44"/>
    <n v="1"/>
    <n v="12.49"/>
    <n v="0"/>
    <n v="0"/>
    <n v="0"/>
    <n v="12.49"/>
    <n v="1.26"/>
    <n v="13.75"/>
    <n v="1"/>
  </r>
  <r>
    <x v="762"/>
    <s v="Regular"/>
    <n v="9317222001427"/>
    <x v="44"/>
    <n v="1"/>
    <n v="13.17"/>
    <n v="0"/>
    <n v="0"/>
    <n v="0"/>
    <n v="13.17"/>
    <n v="1.33"/>
    <n v="14.5"/>
    <n v="1"/>
  </r>
  <r>
    <x v="763"/>
    <s v="Regular"/>
    <n v="9317222001342"/>
    <x v="44"/>
    <n v="1"/>
    <n v="13.17"/>
    <n v="0"/>
    <n v="0"/>
    <n v="0"/>
    <n v="13.17"/>
    <n v="1.33"/>
    <n v="14.5"/>
    <n v="1"/>
  </r>
  <r>
    <x v="764"/>
    <s v="Regular"/>
    <n v="9421038080092"/>
    <x v="44"/>
    <n v="1"/>
    <n v="14.67"/>
    <n v="0"/>
    <n v="0"/>
    <n v="-2.35"/>
    <n v="12.32"/>
    <n v="1.23"/>
    <n v="13.55"/>
    <n v="1"/>
  </r>
  <r>
    <x v="765"/>
    <s v="Regular"/>
    <n v="9421038080115"/>
    <x v="44"/>
    <n v="1"/>
    <n v="7.67"/>
    <n v="0"/>
    <n v="0"/>
    <n v="0"/>
    <n v="7.67"/>
    <n v="0.78"/>
    <n v="8.4499999999999993"/>
    <n v="1"/>
  </r>
  <r>
    <x v="766"/>
    <s v="Regular"/>
    <n v="9356892000149"/>
    <x v="44"/>
    <n v="1"/>
    <n v="13.08"/>
    <n v="0"/>
    <n v="0"/>
    <n v="0"/>
    <n v="13.08"/>
    <n v="1.32"/>
    <n v="14.4"/>
    <n v="1"/>
  </r>
  <r>
    <x v="767"/>
    <s v="Regular"/>
    <n v="9413000008739"/>
    <x v="44"/>
    <n v="1"/>
    <n v="4.7699999999999996"/>
    <n v="0"/>
    <n v="0"/>
    <n v="0"/>
    <n v="4.7699999999999996"/>
    <n v="0.48"/>
    <n v="5.25"/>
    <n v="1"/>
  </r>
  <r>
    <x v="768"/>
    <s v="Regular"/>
    <n v="9337825001136"/>
    <x v="44"/>
    <n v="1"/>
    <n v="8.49"/>
    <n v="0"/>
    <n v="0"/>
    <n v="-2.46"/>
    <n v="6.03"/>
    <n v="0.61"/>
    <n v="6.64"/>
    <n v="1"/>
  </r>
  <r>
    <x v="769"/>
    <s v="Regular"/>
    <n v="9312812002006"/>
    <x v="44"/>
    <n v="1"/>
    <n v="4.3600000000000003"/>
    <n v="0"/>
    <n v="0"/>
    <n v="0"/>
    <n v="4.3600000000000003"/>
    <n v="0.44"/>
    <n v="4.8"/>
    <n v="1"/>
  </r>
  <r>
    <x v="770"/>
    <s v="Regular"/>
    <n v="9312812000903"/>
    <x v="44"/>
    <n v="1"/>
    <n v="12.99"/>
    <n v="0"/>
    <n v="0"/>
    <n v="0"/>
    <n v="12.99"/>
    <n v="1.31"/>
    <n v="14.3"/>
    <n v="1"/>
  </r>
  <r>
    <x v="771"/>
    <s v="Regular"/>
    <n v="9421036300567"/>
    <x v="44"/>
    <n v="1"/>
    <n v="5.4"/>
    <n v="0"/>
    <n v="0"/>
    <n v="0"/>
    <n v="5.4"/>
    <n v="0.55000000000000004"/>
    <n v="5.95"/>
    <n v="1"/>
  </r>
  <r>
    <x v="772"/>
    <s v="Regular"/>
    <n v="9421036300390"/>
    <x v="44"/>
    <n v="4"/>
    <n v="21.6"/>
    <n v="0"/>
    <n v="0"/>
    <n v="0"/>
    <n v="21.6"/>
    <n v="2.2000000000000002"/>
    <n v="23.8"/>
    <n v="4"/>
  </r>
  <r>
    <x v="773"/>
    <s v="Regular"/>
    <n v="1264966"/>
    <x v="44"/>
    <n v="1"/>
    <n v="7.72"/>
    <n v="0"/>
    <n v="0"/>
    <n v="0"/>
    <n v="7.72"/>
    <n v="0.78"/>
    <n v="8.5"/>
    <n v="1"/>
  </r>
  <r>
    <x v="774"/>
    <s v="Regular"/>
    <n v="9421036302080"/>
    <x v="44"/>
    <n v="1"/>
    <n v="7.72"/>
    <n v="0"/>
    <n v="0"/>
    <n v="0"/>
    <n v="7.72"/>
    <n v="0.78"/>
    <n v="8.5"/>
    <n v="1"/>
  </r>
  <r>
    <x v="775"/>
    <s v="Regular"/>
    <n v="797776076314"/>
    <x v="44"/>
    <n v="1"/>
    <n v="30.79"/>
    <n v="0"/>
    <n v="0"/>
    <n v="0"/>
    <n v="30.79"/>
    <n v="3.11"/>
    <n v="33.9"/>
    <n v="1"/>
  </r>
  <r>
    <x v="776"/>
    <s v="Regular"/>
    <n v="851228005007"/>
    <x v="44"/>
    <n v="2"/>
    <n v="17.260000000000002"/>
    <n v="0"/>
    <n v="0"/>
    <n v="0"/>
    <n v="17.260000000000002"/>
    <n v="1.74"/>
    <n v="19"/>
    <n v="2"/>
  </r>
  <r>
    <x v="777"/>
    <s v="Regular"/>
    <n v="851228005014"/>
    <x v="44"/>
    <n v="2"/>
    <n v="17.260000000000002"/>
    <n v="0"/>
    <n v="0"/>
    <n v="0"/>
    <n v="17.260000000000002"/>
    <n v="1.74"/>
    <n v="19"/>
    <n v="2"/>
  </r>
  <r>
    <x v="778"/>
    <s v="Regular"/>
    <n v="851228005403"/>
    <x v="44"/>
    <n v="1"/>
    <n v="8.6199999999999992"/>
    <n v="0"/>
    <n v="0"/>
    <n v="0"/>
    <n v="8.6199999999999992"/>
    <n v="0.88"/>
    <n v="9.5"/>
    <n v="1"/>
  </r>
  <r>
    <x v="779"/>
    <s v="Regular"/>
    <n v="851228005182"/>
    <x v="44"/>
    <n v="2"/>
    <n v="17.25"/>
    <n v="0"/>
    <n v="0"/>
    <n v="0"/>
    <n v="17.25"/>
    <n v="1.75"/>
    <n v="19"/>
    <n v="2"/>
  </r>
  <r>
    <x v="780"/>
    <s v="Regular"/>
    <n v="9312657009017"/>
    <x v="44"/>
    <n v="1"/>
    <n v="7.04"/>
    <n v="0"/>
    <n v="0"/>
    <n v="0"/>
    <n v="7.04"/>
    <n v="0.71"/>
    <n v="7.75"/>
    <n v="1"/>
  </r>
  <r>
    <x v="781"/>
    <s v="Regular"/>
    <n v="9346365001131"/>
    <x v="44"/>
    <n v="1"/>
    <n v="27.2"/>
    <n v="0"/>
    <n v="0"/>
    <n v="0"/>
    <n v="27.2"/>
    <n v="2.75"/>
    <n v="29.95"/>
    <n v="1"/>
  </r>
  <r>
    <x v="782"/>
    <s v="Regular"/>
    <n v="9346365000103"/>
    <x v="44"/>
    <n v="1"/>
    <n v="31.74"/>
    <n v="0"/>
    <n v="0"/>
    <n v="0"/>
    <n v="31.74"/>
    <n v="3.21"/>
    <n v="34.950000000000003"/>
    <n v="1"/>
  </r>
  <r>
    <x v="783"/>
    <s v="Regular"/>
    <n v="9346365000639"/>
    <x v="44"/>
    <n v="1"/>
    <n v="29.93"/>
    <n v="0"/>
    <n v="0"/>
    <n v="0"/>
    <n v="29.93"/>
    <n v="3.02"/>
    <n v="32.950000000000003"/>
    <n v="1"/>
  </r>
  <r>
    <x v="784"/>
    <s v="Regular"/>
    <n v="9352471000197"/>
    <x v="44"/>
    <n v="1"/>
    <n v="19.350000000000001"/>
    <n v="0"/>
    <n v="0"/>
    <n v="-1.1599999999999999"/>
    <n v="18.190000000000001"/>
    <n v="1.85"/>
    <n v="20.04"/>
    <n v="1"/>
  </r>
  <r>
    <x v="785"/>
    <s v="Regular"/>
    <n v="9352471000180"/>
    <x v="44"/>
    <n v="2"/>
    <n v="38.5"/>
    <n v="0"/>
    <n v="0"/>
    <n v="0"/>
    <n v="38.5"/>
    <n v="3.9"/>
    <n v="42.4"/>
    <n v="2"/>
  </r>
  <r>
    <x v="786"/>
    <s v="Regular"/>
    <n v="9359130000017"/>
    <x v="44"/>
    <n v="1"/>
    <n v="29.1"/>
    <n v="0"/>
    <n v="0"/>
    <n v="-5.82"/>
    <n v="23.28"/>
    <n v="0"/>
    <n v="23.28"/>
    <n v="1"/>
  </r>
  <r>
    <x v="787"/>
    <s v="Regular"/>
    <n v="9359130000000"/>
    <x v="44"/>
    <n v="2"/>
    <n v="70.2"/>
    <n v="0"/>
    <n v="0"/>
    <n v="-2.56"/>
    <n v="67.64"/>
    <n v="0"/>
    <n v="67.64"/>
    <n v="2"/>
  </r>
  <r>
    <x v="788"/>
    <s v="Regular"/>
    <n v="781005414640"/>
    <x v="44"/>
    <n v="1"/>
    <n v="46.27"/>
    <n v="0"/>
    <n v="0"/>
    <n v="0"/>
    <n v="46.27"/>
    <n v="4.68"/>
    <n v="50.95"/>
    <n v="1"/>
  </r>
  <r>
    <x v="789"/>
    <s v="Regular"/>
    <n v="782126203137"/>
    <x v="44"/>
    <n v="1"/>
    <n v="6.18"/>
    <n v="0"/>
    <n v="0"/>
    <n v="0"/>
    <n v="6.18"/>
    <n v="0.62"/>
    <n v="6.8"/>
    <n v="1"/>
  </r>
  <r>
    <x v="790"/>
    <s v="Regular"/>
    <m/>
    <x v="44"/>
    <n v="1"/>
    <n v="14.44"/>
    <n v="0"/>
    <n v="0"/>
    <n v="0"/>
    <n v="14.44"/>
    <n v="1.46"/>
    <n v="15.9"/>
    <n v="1"/>
  </r>
  <r>
    <x v="791"/>
    <s v="Regular"/>
    <n v="9352218000909"/>
    <x v="44"/>
    <n v="2"/>
    <n v="33.909999999999997"/>
    <n v="0"/>
    <n v="0"/>
    <n v="-1.36"/>
    <n v="32.549999999999997"/>
    <n v="3.29"/>
    <n v="35.840000000000003"/>
    <n v="2"/>
  </r>
  <r>
    <x v="792"/>
    <s v="Regular"/>
    <n v="9352218000251"/>
    <x v="44"/>
    <n v="1"/>
    <n v="16.3"/>
    <n v="0"/>
    <n v="0"/>
    <n v="0"/>
    <n v="16.3"/>
    <n v="1.65"/>
    <n v="17.95"/>
    <n v="1"/>
  </r>
  <r>
    <x v="793"/>
    <s v="Regular"/>
    <n v="9352218000732"/>
    <x v="44"/>
    <n v="1"/>
    <n v="25.52"/>
    <n v="0"/>
    <n v="0"/>
    <n v="0"/>
    <n v="25.52"/>
    <n v="2.58"/>
    <n v="28.1"/>
    <n v="1"/>
  </r>
  <r>
    <x v="794"/>
    <s v="Regular"/>
    <n v="9352218000862"/>
    <x v="44"/>
    <n v="2"/>
    <n v="33.79"/>
    <n v="0"/>
    <n v="0"/>
    <n v="0"/>
    <n v="33.79"/>
    <n v="3.41"/>
    <n v="37.200000000000003"/>
    <n v="2"/>
  </r>
  <r>
    <x v="795"/>
    <s v="Regular"/>
    <n v="9352218000046"/>
    <x v="44"/>
    <n v="1"/>
    <n v="18.21"/>
    <n v="0"/>
    <n v="0"/>
    <n v="0"/>
    <n v="18.21"/>
    <n v="1.84"/>
    <n v="20.05"/>
    <n v="1"/>
  </r>
  <r>
    <x v="796"/>
    <s v="Regular"/>
    <n v="8016867009928"/>
    <x v="44"/>
    <n v="2"/>
    <n v="17"/>
    <n v="0"/>
    <n v="0"/>
    <n v="0"/>
    <n v="17"/>
    <n v="0"/>
    <n v="17"/>
    <n v="2"/>
  </r>
  <r>
    <x v="797"/>
    <s v="Regular"/>
    <n v="785034317491"/>
    <x v="44"/>
    <n v="1"/>
    <n v="9.0299999999999994"/>
    <n v="0"/>
    <n v="0"/>
    <n v="0"/>
    <n v="9.0299999999999994"/>
    <n v="0.92"/>
    <n v="9.9499999999999993"/>
    <n v="1"/>
  </r>
  <r>
    <x v="798"/>
    <s v="Regular"/>
    <n v="9309002269004"/>
    <x v="44"/>
    <n v="1"/>
    <n v="26.3"/>
    <n v="0"/>
    <n v="0"/>
    <n v="-2.63"/>
    <n v="23.67"/>
    <n v="2.4"/>
    <n v="26.07"/>
    <n v="1"/>
  </r>
  <r>
    <x v="799"/>
    <s v="Regular"/>
    <n v="9309002269066"/>
    <x v="44"/>
    <n v="1"/>
    <n v="26.07"/>
    <n v="0"/>
    <n v="0"/>
    <n v="0"/>
    <n v="26.07"/>
    <n v="2.63"/>
    <n v="28.7"/>
    <n v="1"/>
  </r>
  <r>
    <x v="800"/>
    <s v="Regular"/>
    <n v="9309002269080"/>
    <x v="44"/>
    <n v="1"/>
    <n v="26.06"/>
    <n v="0"/>
    <n v="0"/>
    <n v="0"/>
    <n v="26.06"/>
    <n v="2.64"/>
    <n v="28.7"/>
    <n v="1"/>
  </r>
  <r>
    <x v="801"/>
    <s v="Regular"/>
    <n v="9369900018418"/>
    <x v="44"/>
    <n v="1"/>
    <n v="31.8"/>
    <n v="0"/>
    <n v="0"/>
    <n v="0"/>
    <n v="31.8"/>
    <n v="0"/>
    <n v="31.8"/>
    <n v="1"/>
  </r>
  <r>
    <x v="802"/>
    <s v="Regular"/>
    <n v="9369999341930"/>
    <x v="44"/>
    <n v="1"/>
    <n v="28.6"/>
    <n v="0"/>
    <n v="0"/>
    <n v="0"/>
    <n v="28.6"/>
    <n v="0"/>
    <n v="28.6"/>
    <n v="1"/>
  </r>
  <r>
    <x v="803"/>
    <s v="Regular"/>
    <n v="9342121000004"/>
    <x v="44"/>
    <n v="2"/>
    <n v="47.49"/>
    <n v="0"/>
    <n v="0"/>
    <n v="-3.88"/>
    <n v="43.61"/>
    <n v="4.41"/>
    <n v="48.02"/>
    <n v="2"/>
  </r>
  <r>
    <x v="804"/>
    <s v="Regular"/>
    <n v="9350771002576"/>
    <x v="44"/>
    <n v="1"/>
    <n v="35.78"/>
    <n v="0"/>
    <n v="0"/>
    <n v="0"/>
    <n v="35.78"/>
    <n v="3.62"/>
    <n v="39.4"/>
    <n v="1"/>
  </r>
  <r>
    <x v="805"/>
    <s v="Regular"/>
    <n v="9369998510207"/>
    <x v="44"/>
    <n v="1"/>
    <n v="46.82"/>
    <n v="0"/>
    <n v="0"/>
    <n v="0"/>
    <n v="46.82"/>
    <n v="4.68"/>
    <n v="51.5"/>
    <n v="1"/>
  </r>
  <r>
    <x v="806"/>
    <s v="Regular"/>
    <n v="9369900027816"/>
    <x v="44"/>
    <n v="1"/>
    <n v="46.77"/>
    <n v="0"/>
    <n v="0"/>
    <n v="0"/>
    <n v="46.77"/>
    <n v="4.7300000000000004"/>
    <n v="51.5"/>
    <n v="1"/>
  </r>
  <r>
    <x v="807"/>
    <s v="Regular"/>
    <m/>
    <x v="44"/>
    <n v="1"/>
    <n v="25.95"/>
    <n v="0"/>
    <n v="0"/>
    <n v="0"/>
    <n v="25.95"/>
    <n v="0"/>
    <n v="25.95"/>
    <n v="1"/>
  </r>
  <r>
    <x v="808"/>
    <s v="Regular"/>
    <n v="746092298047"/>
    <x v="44"/>
    <n v="2"/>
    <n v="32.950000000000003"/>
    <n v="0"/>
    <n v="0"/>
    <n v="-2.65"/>
    <n v="30.3"/>
    <n v="3.05"/>
    <n v="33.35"/>
    <n v="2"/>
  </r>
  <r>
    <x v="809"/>
    <s v="Regular"/>
    <n v="731722043432"/>
    <x v="44"/>
    <n v="1"/>
    <n v="26.02"/>
    <n v="0"/>
    <n v="0"/>
    <n v="0"/>
    <n v="26.02"/>
    <n v="2.63"/>
    <n v="28.65"/>
    <n v="1"/>
  </r>
  <r>
    <x v="810"/>
    <s v="Regular"/>
    <n v="7611916153600"/>
    <x v="44"/>
    <n v="1"/>
    <n v="19.89"/>
    <n v="0"/>
    <n v="0"/>
    <n v="0"/>
    <n v="19.89"/>
    <n v="2.0099999999999998"/>
    <n v="21.9"/>
    <n v="1"/>
  </r>
  <r>
    <x v="811"/>
    <s v="Regular"/>
    <n v="4001638530248"/>
    <x v="44"/>
    <n v="1"/>
    <n v="16.89"/>
    <n v="0"/>
    <n v="0"/>
    <n v="0"/>
    <n v="16.89"/>
    <n v="1.71"/>
    <n v="18.600000000000001"/>
    <n v="1"/>
  </r>
  <r>
    <x v="812"/>
    <s v="Regular"/>
    <n v="4001638501491"/>
    <x v="44"/>
    <n v="1"/>
    <n v="29.83"/>
    <n v="0"/>
    <n v="0"/>
    <n v="0"/>
    <n v="29.83"/>
    <n v="3.02"/>
    <n v="32.85"/>
    <n v="1"/>
  </r>
  <r>
    <x v="813"/>
    <s v="Regular"/>
    <n v="4001638501989"/>
    <x v="44"/>
    <n v="1"/>
    <n v="12.89"/>
    <n v="0"/>
    <n v="0"/>
    <n v="0"/>
    <n v="12.89"/>
    <n v="1.31"/>
    <n v="14.2"/>
    <n v="1"/>
  </r>
  <r>
    <x v="814"/>
    <s v="Regular"/>
    <n v="9349096000138"/>
    <x v="45"/>
    <n v="1"/>
    <n v="22.93"/>
    <n v="0"/>
    <n v="0"/>
    <n v="0"/>
    <n v="22.93"/>
    <n v="2.3199999999999998"/>
    <n v="25.25"/>
    <n v="1"/>
  </r>
  <r>
    <x v="815"/>
    <s v="Regular"/>
    <n v="9359866000282"/>
    <x v="45"/>
    <n v="1"/>
    <n v="24.02"/>
    <n v="0"/>
    <n v="0"/>
    <n v="0"/>
    <n v="24.02"/>
    <n v="2.4300000000000002"/>
    <n v="26.45"/>
    <n v="1"/>
  </r>
  <r>
    <x v="816"/>
    <s v="Regular"/>
    <n v="9316131505699"/>
    <x v="46"/>
    <n v="1"/>
    <n v="5.85"/>
    <n v="0"/>
    <n v="0"/>
    <n v="0"/>
    <n v="5.85"/>
    <n v="0"/>
    <n v="5.85"/>
    <n v="1"/>
  </r>
  <r>
    <x v="817"/>
    <s v="Regular"/>
    <n v="9316131608192"/>
    <x v="46"/>
    <n v="4"/>
    <n v="37.6"/>
    <n v="0"/>
    <n v="0"/>
    <n v="-3.12"/>
    <n v="34.479999999999997"/>
    <n v="0"/>
    <n v="34.479999999999997"/>
    <n v="4"/>
  </r>
  <r>
    <x v="818"/>
    <s v="Regular"/>
    <n v="9415748017400"/>
    <x v="46"/>
    <n v="1"/>
    <n v="8.5500000000000007"/>
    <n v="0"/>
    <n v="0"/>
    <n v="0"/>
    <n v="8.5500000000000007"/>
    <n v="0"/>
    <n v="8.5500000000000007"/>
    <n v="1"/>
  </r>
  <r>
    <x v="819"/>
    <s v="Regular"/>
    <n v="9415748012993"/>
    <x v="46"/>
    <n v="2"/>
    <n v="25.1"/>
    <n v="0"/>
    <n v="0"/>
    <n v="0"/>
    <n v="25.1"/>
    <n v="0"/>
    <n v="25.1"/>
    <n v="2"/>
  </r>
  <r>
    <x v="820"/>
    <s v="Regular"/>
    <n v="9415748012986"/>
    <x v="46"/>
    <n v="1"/>
    <n v="12.55"/>
    <n v="0"/>
    <n v="0"/>
    <n v="-0.92"/>
    <n v="11.63"/>
    <n v="0"/>
    <n v="11.63"/>
    <n v="1"/>
  </r>
  <r>
    <x v="821"/>
    <s v="Regular"/>
    <n v="9421035970495"/>
    <x v="46"/>
    <n v="1"/>
    <n v="5.7"/>
    <n v="0"/>
    <n v="0"/>
    <n v="0"/>
    <n v="5.7"/>
    <n v="0"/>
    <n v="5.7"/>
    <n v="1"/>
  </r>
  <r>
    <x v="822"/>
    <s v="Regular"/>
    <n v="9421035972598"/>
    <x v="46"/>
    <n v="1"/>
    <n v="7.72"/>
    <n v="0"/>
    <n v="0"/>
    <n v="0"/>
    <n v="7.72"/>
    <n v="0.78"/>
    <n v="8.5"/>
    <n v="1"/>
  </r>
  <r>
    <x v="823"/>
    <s v="Regular"/>
    <n v="9339337305238"/>
    <x v="46"/>
    <n v="1"/>
    <n v="6.4"/>
    <n v="0"/>
    <n v="0"/>
    <n v="0"/>
    <n v="6.4"/>
    <n v="0"/>
    <n v="6.4"/>
    <n v="1"/>
  </r>
  <r>
    <x v="824"/>
    <s v="Regular"/>
    <n v="9339337007538"/>
    <x v="46"/>
    <n v="1"/>
    <n v="4.45"/>
    <n v="0"/>
    <n v="0"/>
    <n v="0"/>
    <n v="4.45"/>
    <n v="0"/>
    <n v="4.45"/>
    <n v="1"/>
  </r>
  <r>
    <x v="825"/>
    <s v="Regular"/>
    <n v="9339337305214"/>
    <x v="46"/>
    <n v="1"/>
    <n v="6.4"/>
    <n v="0"/>
    <n v="0"/>
    <n v="0"/>
    <n v="6.4"/>
    <n v="0"/>
    <n v="6.4"/>
    <n v="1"/>
  </r>
  <r>
    <x v="826"/>
    <s v="Regular"/>
    <n v="9339337307133"/>
    <x v="46"/>
    <n v="3"/>
    <n v="15.9"/>
    <n v="0"/>
    <n v="0"/>
    <n v="0"/>
    <n v="15.9"/>
    <n v="0"/>
    <n v="15.9"/>
    <n v="3"/>
  </r>
  <r>
    <x v="827"/>
    <s v="Regular"/>
    <n v="9339337307140"/>
    <x v="46"/>
    <n v="1"/>
    <n v="5.3"/>
    <n v="0"/>
    <n v="0"/>
    <n v="0"/>
    <n v="5.3"/>
    <n v="0"/>
    <n v="5.3"/>
    <n v="1"/>
  </r>
  <r>
    <x v="828"/>
    <s v="Regular"/>
    <n v="9312336030110"/>
    <x v="46"/>
    <n v="1"/>
    <n v="6.8"/>
    <n v="0"/>
    <n v="0"/>
    <n v="-0.6"/>
    <n v="6.2"/>
    <n v="0"/>
    <n v="6.2"/>
    <n v="1"/>
  </r>
  <r>
    <x v="829"/>
    <s v="Regular"/>
    <n v="9312336025208"/>
    <x v="46"/>
    <n v="2"/>
    <n v="34"/>
    <n v="0"/>
    <n v="0"/>
    <n v="0"/>
    <n v="34"/>
    <n v="0"/>
    <n v="34"/>
    <n v="2"/>
  </r>
  <r>
    <x v="830"/>
    <s v="Regular"/>
    <n v="9329878002147"/>
    <x v="47"/>
    <n v="6"/>
    <n v="39.299999999999997"/>
    <n v="0"/>
    <n v="0"/>
    <n v="-0.42"/>
    <n v="38.880000000000003"/>
    <n v="0"/>
    <n v="38.880000000000003"/>
    <n v="6"/>
  </r>
  <r>
    <x v="831"/>
    <s v="Regular"/>
    <n v="9329878002130"/>
    <x v="47"/>
    <n v="8"/>
    <n v="52.2"/>
    <n v="0"/>
    <n v="0"/>
    <n v="-0.62"/>
    <n v="51.58"/>
    <n v="0"/>
    <n v="51.58"/>
    <n v="8"/>
  </r>
  <r>
    <x v="832"/>
    <s v="Regular"/>
    <n v="9329878007104"/>
    <x v="47"/>
    <n v="4"/>
    <n v="26.7"/>
    <n v="0"/>
    <n v="0"/>
    <n v="-1.56"/>
    <n v="25.14"/>
    <n v="0"/>
    <n v="25.14"/>
    <n v="4"/>
  </r>
  <r>
    <x v="833"/>
    <s v="Regular"/>
    <n v="9329878002383"/>
    <x v="47"/>
    <n v="3"/>
    <n v="19.350000000000001"/>
    <n v="0"/>
    <n v="0"/>
    <n v="-1.42"/>
    <n v="17.93"/>
    <n v="0"/>
    <n v="17.93"/>
    <n v="3"/>
  </r>
  <r>
    <x v="834"/>
    <s v="Regular"/>
    <n v="9316131104403"/>
    <x v="47"/>
    <n v="5"/>
    <n v="32"/>
    <n v="0"/>
    <n v="0"/>
    <n v="-0.28999999999999998"/>
    <n v="31.71"/>
    <n v="0"/>
    <n v="31.71"/>
    <n v="5"/>
  </r>
  <r>
    <x v="835"/>
    <s v="Regular"/>
    <n v="200911000001"/>
    <x v="48"/>
    <n v="15"/>
    <n v="520.51"/>
    <n v="0"/>
    <n v="0"/>
    <n v="-12.23"/>
    <n v="508.28"/>
    <n v="0"/>
    <n v="508.28"/>
    <n v="3.4020000000000001"/>
  </r>
  <r>
    <x v="836"/>
    <s v="Regular"/>
    <m/>
    <x v="48"/>
    <n v="3"/>
    <n v="83.27"/>
    <n v="0"/>
    <n v="0"/>
    <n v="0"/>
    <n v="83.27"/>
    <n v="0"/>
    <n v="83.27"/>
    <n v="0.71199999999999997"/>
  </r>
  <r>
    <x v="837"/>
    <s v="Regular"/>
    <n v="9309002258077"/>
    <x v="48"/>
    <n v="4"/>
    <n v="21.8"/>
    <n v="0"/>
    <n v="0"/>
    <n v="0"/>
    <n v="21.8"/>
    <n v="0"/>
    <n v="21.8"/>
    <n v="4"/>
  </r>
  <r>
    <x v="838"/>
    <s v="Regular"/>
    <n v="9300462531007"/>
    <x v="48"/>
    <n v="23"/>
    <n v="263.35000000000002"/>
    <n v="0"/>
    <n v="0"/>
    <n v="-15.3"/>
    <n v="248.05"/>
    <n v="0"/>
    <n v="248.05"/>
    <n v="23"/>
  </r>
  <r>
    <x v="839"/>
    <s v="Regular"/>
    <n v="9336595001056"/>
    <x v="48"/>
    <n v="1"/>
    <n v="6.55"/>
    <n v="0"/>
    <n v="0"/>
    <n v="0"/>
    <n v="6.55"/>
    <n v="0"/>
    <n v="6.55"/>
    <n v="1"/>
  </r>
  <r>
    <x v="840"/>
    <s v="Regular"/>
    <n v="9336595001032"/>
    <x v="48"/>
    <n v="1"/>
    <n v="13.85"/>
    <n v="0"/>
    <n v="0"/>
    <n v="0"/>
    <n v="13.85"/>
    <n v="0"/>
    <n v="13.85"/>
    <n v="1"/>
  </r>
  <r>
    <x v="841"/>
    <s v="Regular"/>
    <n v="9336595001049"/>
    <x v="48"/>
    <n v="2"/>
    <n v="14.8"/>
    <n v="0"/>
    <n v="0"/>
    <n v="-0.36"/>
    <n v="14.44"/>
    <n v="0"/>
    <n v="14.44"/>
    <n v="2"/>
  </r>
  <r>
    <x v="842"/>
    <s v="Regular"/>
    <n v="9336595001087"/>
    <x v="48"/>
    <n v="3"/>
    <n v="35.25"/>
    <n v="0"/>
    <n v="0"/>
    <n v="0"/>
    <n v="35.25"/>
    <n v="0"/>
    <n v="35.25"/>
    <n v="3"/>
  </r>
  <r>
    <x v="843"/>
    <s v="Regular"/>
    <n v="9336595001063"/>
    <x v="48"/>
    <n v="2"/>
    <n v="37.700000000000003"/>
    <n v="0"/>
    <n v="0"/>
    <n v="0"/>
    <n v="37.700000000000003"/>
    <n v="0"/>
    <n v="37.700000000000003"/>
    <n v="2"/>
  </r>
  <r>
    <x v="844"/>
    <s v="Regular"/>
    <n v="9336595001070"/>
    <x v="48"/>
    <n v="2"/>
    <n v="25.5"/>
    <n v="0"/>
    <n v="0"/>
    <n v="0"/>
    <n v="25.5"/>
    <n v="0"/>
    <n v="25.5"/>
    <n v="2"/>
  </r>
  <r>
    <x v="845"/>
    <s v="Regular"/>
    <n v="9336595001025"/>
    <x v="48"/>
    <n v="1"/>
    <n v="8.75"/>
    <n v="0"/>
    <n v="0"/>
    <n v="0"/>
    <n v="8.75"/>
    <n v="0"/>
    <n v="8.75"/>
    <n v="1"/>
  </r>
  <r>
    <x v="846"/>
    <s v="Regular"/>
    <n v="9336595001001"/>
    <x v="48"/>
    <n v="1"/>
    <n v="17.600000000000001"/>
    <n v="0"/>
    <n v="0"/>
    <n v="0"/>
    <n v="17.600000000000001"/>
    <n v="0"/>
    <n v="17.600000000000001"/>
    <n v="1"/>
  </r>
  <r>
    <x v="847"/>
    <s v="Regular"/>
    <n v="859480006077"/>
    <x v="48"/>
    <n v="1"/>
    <n v="9.6999999999999993"/>
    <n v="0"/>
    <n v="0"/>
    <n v="0"/>
    <n v="9.6999999999999993"/>
    <n v="0"/>
    <n v="9.6999999999999993"/>
    <n v="1"/>
  </r>
  <r>
    <x v="848"/>
    <s v="Regular"/>
    <n v="9344081000827"/>
    <x v="48"/>
    <n v="1"/>
    <n v="7"/>
    <n v="0"/>
    <n v="0"/>
    <n v="-7"/>
    <n v="0"/>
    <n v="0"/>
    <n v="0"/>
    <n v="1"/>
  </r>
  <r>
    <x v="849"/>
    <s v="Regular"/>
    <n v="9421035971621"/>
    <x v="49"/>
    <n v="1"/>
    <n v="5.7"/>
    <n v="0"/>
    <n v="0"/>
    <n v="0"/>
    <n v="5.7"/>
    <n v="0"/>
    <n v="5.7"/>
    <n v="1"/>
  </r>
  <r>
    <x v="850"/>
    <s v="Regular"/>
    <n v="746160012810"/>
    <x v="49"/>
    <n v="1"/>
    <n v="20.399999999999999"/>
    <n v="0"/>
    <n v="0"/>
    <n v="0"/>
    <n v="20.399999999999999"/>
    <n v="0"/>
    <n v="20.399999999999999"/>
    <n v="1"/>
  </r>
  <r>
    <x v="851"/>
    <s v="Regular"/>
    <n v="659359516177"/>
    <x v="49"/>
    <n v="1"/>
    <n v="20.399999999999999"/>
    <n v="0"/>
    <n v="0"/>
    <n v="0"/>
    <n v="20.399999999999999"/>
    <n v="0"/>
    <n v="20.399999999999999"/>
    <n v="1"/>
  </r>
  <r>
    <x v="852"/>
    <s v="Regular"/>
    <n v="659359516214"/>
    <x v="49"/>
    <n v="1"/>
    <n v="20.399999999999999"/>
    <n v="0"/>
    <n v="0"/>
    <n v="-1.1200000000000001"/>
    <n v="19.28"/>
    <n v="0"/>
    <n v="19.28"/>
    <n v="1"/>
  </r>
  <r>
    <x v="853"/>
    <s v="Regular"/>
    <n v="9350465000093"/>
    <x v="49"/>
    <n v="1"/>
    <n v="3.2"/>
    <n v="0"/>
    <n v="0"/>
    <n v="0"/>
    <n v="3.2"/>
    <n v="0"/>
    <n v="3.2"/>
    <n v="1"/>
  </r>
  <r>
    <x v="854"/>
    <s v="Regular"/>
    <n v="9350465005012"/>
    <x v="49"/>
    <n v="2"/>
    <n v="6.4"/>
    <n v="0"/>
    <n v="0"/>
    <n v="-2.08"/>
    <n v="4.32"/>
    <n v="0"/>
    <n v="4.32"/>
    <n v="2"/>
  </r>
  <r>
    <x v="855"/>
    <s v="Regular"/>
    <n v="9350465010207"/>
    <x v="49"/>
    <n v="1"/>
    <n v="3.2"/>
    <n v="0"/>
    <n v="0"/>
    <n v="-0.2"/>
    <n v="3"/>
    <n v="0"/>
    <n v="3"/>
    <n v="1"/>
  </r>
  <r>
    <x v="856"/>
    <s v="Regular"/>
    <n v="9350465010214"/>
    <x v="49"/>
    <n v="1"/>
    <n v="3.2"/>
    <n v="0"/>
    <n v="0"/>
    <n v="-0.2"/>
    <n v="3"/>
    <n v="0"/>
    <n v="3"/>
    <n v="1"/>
  </r>
  <r>
    <x v="857"/>
    <s v="Regular"/>
    <n v="9350465009928"/>
    <x v="49"/>
    <n v="3"/>
    <n v="9.6"/>
    <n v="0"/>
    <n v="0"/>
    <n v="-2.08"/>
    <n v="7.52"/>
    <n v="0"/>
    <n v="7.52"/>
    <n v="3"/>
  </r>
  <r>
    <x v="858"/>
    <s v="Regular"/>
    <n v="9344081000469"/>
    <x v="49"/>
    <n v="2"/>
    <n v="14.6"/>
    <n v="0"/>
    <n v="0"/>
    <n v="-1.47"/>
    <n v="13.13"/>
    <n v="0"/>
    <n v="13.13"/>
    <n v="2"/>
  </r>
  <r>
    <x v="859"/>
    <s v="Regular"/>
    <n v="9369999935061"/>
    <x v="49"/>
    <n v="1"/>
    <n v="13.2"/>
    <n v="0"/>
    <n v="0"/>
    <n v="0"/>
    <n v="13.2"/>
    <n v="0"/>
    <n v="13.2"/>
    <n v="1"/>
  </r>
  <r>
    <x v="860"/>
    <s v="Regular"/>
    <s v="Y625691"/>
    <x v="50"/>
    <n v="16"/>
    <n v="248.59"/>
    <n v="0"/>
    <n v="0"/>
    <n v="-7.5"/>
    <n v="241.09"/>
    <n v="4.41"/>
    <n v="245.5"/>
    <n v="16"/>
  </r>
  <r>
    <x v="861"/>
    <s v="Regular"/>
    <s v="T023944"/>
    <x v="50"/>
    <n v="18"/>
    <n v="257.76"/>
    <n v="0"/>
    <n v="0"/>
    <n v="-5.79"/>
    <n v="251.97"/>
    <n v="5.24"/>
    <n v="257.20999999999998"/>
    <n v="18"/>
  </r>
  <r>
    <x v="862"/>
    <s v="Regular"/>
    <s v="K528789"/>
    <x v="50"/>
    <n v="15"/>
    <n v="227.62"/>
    <n v="0"/>
    <n v="0"/>
    <n v="0"/>
    <n v="227.62"/>
    <n v="1.38"/>
    <n v="229"/>
    <n v="15"/>
  </r>
  <r>
    <x v="863"/>
    <s v="Regular"/>
    <s v="E119471"/>
    <x v="50"/>
    <n v="10"/>
    <n v="156.32"/>
    <n v="0"/>
    <n v="0"/>
    <n v="-13.18"/>
    <n v="143.13999999999999"/>
    <n v="1.18"/>
    <n v="144.32"/>
    <n v="10"/>
  </r>
  <r>
    <x v="864"/>
    <s v="Regular"/>
    <s v="D167883"/>
    <x v="50"/>
    <n v="8"/>
    <n v="120.25"/>
    <n v="0"/>
    <n v="0"/>
    <n v="0"/>
    <n v="120.25"/>
    <n v="2.75"/>
    <n v="123"/>
    <n v="8"/>
  </r>
  <r>
    <x v="865"/>
    <s v="Regular"/>
    <s v="X103582"/>
    <x v="50"/>
    <n v="4"/>
    <n v="62"/>
    <n v="0"/>
    <n v="0"/>
    <n v="0"/>
    <n v="62"/>
    <n v="0"/>
    <n v="62"/>
    <n v="4"/>
  </r>
  <r>
    <x v="866"/>
    <s v="Regular"/>
    <s v="689951D"/>
    <x v="50"/>
    <n v="6"/>
    <n v="70.760000000000005"/>
    <n v="0"/>
    <n v="0"/>
    <n v="0"/>
    <n v="70.760000000000005"/>
    <n v="1.0900000000000001"/>
    <n v="71.849999999999994"/>
    <n v="6"/>
  </r>
  <r>
    <x v="867"/>
    <s v="Regular"/>
    <s v="F633679"/>
    <x v="50"/>
    <n v="10"/>
    <n v="149"/>
    <n v="0"/>
    <n v="0"/>
    <n v="-2.59"/>
    <n v="146.41"/>
    <n v="0"/>
    <n v="146.41"/>
    <n v="10"/>
  </r>
  <r>
    <x v="868"/>
    <s v="Regular"/>
    <n v="3009925"/>
    <x v="51"/>
    <n v="10"/>
    <n v="122.67"/>
    <n v="0"/>
    <n v="0"/>
    <n v="-0.76"/>
    <n v="121.91"/>
    <n v="12.33"/>
    <n v="134.24"/>
    <n v="10"/>
  </r>
  <r>
    <x v="869"/>
    <s v="Regular"/>
    <n v="74305006104"/>
    <x v="52"/>
    <n v="1"/>
    <n v="21.2"/>
    <n v="0"/>
    <n v="0"/>
    <n v="0"/>
    <n v="21.2"/>
    <n v="0"/>
    <n v="21.2"/>
    <n v="1"/>
  </r>
  <r>
    <x v="870"/>
    <s v="Regular"/>
    <n v="74305300165"/>
    <x v="52"/>
    <n v="1"/>
    <n v="15.9"/>
    <n v="0"/>
    <n v="0"/>
    <n v="0"/>
    <n v="15.9"/>
    <n v="0"/>
    <n v="15.9"/>
    <n v="1"/>
  </r>
  <r>
    <x v="871"/>
    <s v="Regular"/>
    <n v="9368056969919"/>
    <x v="52"/>
    <n v="1"/>
    <n v="11"/>
    <n v="0"/>
    <n v="0"/>
    <n v="0"/>
    <n v="11"/>
    <n v="0"/>
    <n v="11"/>
    <n v="1"/>
  </r>
  <r>
    <x v="872"/>
    <s v="Regular"/>
    <n v="9312336111109"/>
    <x v="52"/>
    <n v="1"/>
    <n v="10"/>
    <n v="0"/>
    <n v="0"/>
    <n v="0"/>
    <n v="10"/>
    <n v="0"/>
    <n v="10"/>
    <n v="1"/>
  </r>
  <r>
    <x v="873"/>
    <s v="Regular"/>
    <n v="9312336211106"/>
    <x v="52"/>
    <n v="1"/>
    <n v="18.899999999999999"/>
    <n v="0"/>
    <n v="0"/>
    <n v="0"/>
    <n v="18.899999999999999"/>
    <n v="0"/>
    <n v="18.899999999999999"/>
    <n v="1"/>
  </r>
  <r>
    <x v="874"/>
    <s v="Regular"/>
    <n v="9312336111116"/>
    <x v="52"/>
    <n v="1"/>
    <n v="8.3000000000000007"/>
    <n v="0"/>
    <n v="0"/>
    <n v="-0.83"/>
    <n v="7.47"/>
    <n v="0"/>
    <n v="7.47"/>
    <n v="1"/>
  </r>
  <r>
    <x v="875"/>
    <s v="Regular"/>
    <n v="9351450001972"/>
    <x v="52"/>
    <n v="1"/>
    <n v="10.3"/>
    <n v="0"/>
    <n v="0"/>
    <n v="0"/>
    <n v="10.3"/>
    <n v="0"/>
    <n v="10.3"/>
    <n v="1"/>
  </r>
  <r>
    <x v="876"/>
    <s v="Regular"/>
    <n v="9344221001059"/>
    <x v="53"/>
    <n v="1"/>
    <n v="38.5"/>
    <n v="0"/>
    <n v="0"/>
    <n v="0"/>
    <n v="38.5"/>
    <n v="0"/>
    <n v="38.5"/>
    <n v="1"/>
  </r>
  <r>
    <x v="877"/>
    <s v="Regular"/>
    <n v="9335217006288"/>
    <x v="53"/>
    <n v="1"/>
    <n v="37.25"/>
    <n v="0"/>
    <n v="0"/>
    <n v="0"/>
    <n v="37.25"/>
    <n v="0"/>
    <n v="37.25"/>
    <n v="1"/>
  </r>
  <r>
    <x v="878"/>
    <s v="Regular"/>
    <m/>
    <x v="53"/>
    <n v="4"/>
    <n v="53.69"/>
    <n v="0"/>
    <n v="0"/>
    <n v="-1.08"/>
    <n v="52.61"/>
    <n v="5.31"/>
    <n v="57.92"/>
    <n v="4"/>
  </r>
  <r>
    <x v="879"/>
    <s v="Regular"/>
    <n v="705105211794"/>
    <x v="53"/>
    <n v="1"/>
    <n v="12.85"/>
    <n v="0"/>
    <n v="0"/>
    <n v="0"/>
    <n v="12.85"/>
    <n v="0"/>
    <n v="12.85"/>
    <n v="1"/>
  </r>
  <r>
    <x v="880"/>
    <s v="Regular"/>
    <n v="706502816193"/>
    <x v="53"/>
    <n v="1"/>
    <n v="11.75"/>
    <n v="0"/>
    <n v="0"/>
    <n v="0"/>
    <n v="11.75"/>
    <n v="0"/>
    <n v="11.75"/>
    <n v="1"/>
  </r>
  <r>
    <x v="881"/>
    <s v="Regular"/>
    <n v="9319500005516"/>
    <x v="53"/>
    <n v="1"/>
    <n v="11.25"/>
    <n v="0"/>
    <n v="0"/>
    <n v="-2.25"/>
    <n v="9"/>
    <n v="0"/>
    <n v="9"/>
    <n v="1"/>
  </r>
  <r>
    <x v="882"/>
    <s v="Regular"/>
    <n v="746160759166"/>
    <x v="53"/>
    <n v="1"/>
    <n v="12.45"/>
    <n v="0"/>
    <n v="0"/>
    <n v="-2.4900000000000002"/>
    <n v="9.9600000000000009"/>
    <n v="0"/>
    <n v="9.9600000000000009"/>
    <n v="1"/>
  </r>
  <r>
    <x v="883"/>
    <s v="Regular"/>
    <n v="9342824000035"/>
    <x v="53"/>
    <n v="2"/>
    <n v="57.7"/>
    <n v="0"/>
    <n v="0"/>
    <n v="0"/>
    <n v="57.7"/>
    <n v="0"/>
    <n v="57.7"/>
    <n v="2"/>
  </r>
  <r>
    <x v="884"/>
    <s v="Regular"/>
    <n v="9342824000202"/>
    <x v="53"/>
    <n v="1"/>
    <n v="75.25"/>
    <n v="0"/>
    <n v="0"/>
    <n v="0"/>
    <n v="75.25"/>
    <n v="0"/>
    <n v="75.25"/>
    <n v="1"/>
  </r>
  <r>
    <x v="885"/>
    <s v="Regular"/>
    <n v="9342824000028"/>
    <x v="53"/>
    <n v="2"/>
    <n v="57.7"/>
    <n v="0"/>
    <n v="0"/>
    <n v="-0.65"/>
    <n v="57.05"/>
    <n v="0"/>
    <n v="57.05"/>
    <n v="2"/>
  </r>
  <r>
    <x v="886"/>
    <s v="Regular"/>
    <n v="9330870009577"/>
    <x v="53"/>
    <n v="1"/>
    <n v="12.1"/>
    <n v="0"/>
    <n v="0"/>
    <n v="-2.74"/>
    <n v="9.36"/>
    <n v="0"/>
    <n v="9.36"/>
    <n v="1"/>
  </r>
  <r>
    <x v="887"/>
    <s v="Regular"/>
    <n v="9330870009928"/>
    <x v="53"/>
    <n v="1"/>
    <n v="12.1"/>
    <n v="0"/>
    <n v="0"/>
    <n v="0"/>
    <n v="12.1"/>
    <n v="0"/>
    <n v="12.1"/>
    <n v="1"/>
  </r>
  <r>
    <x v="888"/>
    <s v="Regular"/>
    <n v="9339944006603"/>
    <x v="53"/>
    <n v="1"/>
    <n v="45.5"/>
    <n v="0"/>
    <n v="0"/>
    <n v="0"/>
    <n v="45.5"/>
    <n v="0"/>
    <n v="45.5"/>
    <n v="1"/>
  </r>
  <r>
    <x v="889"/>
    <s v="Regular"/>
    <n v="9339944006597"/>
    <x v="53"/>
    <n v="2"/>
    <n v="24.5"/>
    <n v="0"/>
    <n v="0"/>
    <n v="0"/>
    <n v="24.5"/>
    <n v="0"/>
    <n v="24.5"/>
    <n v="2"/>
  </r>
  <r>
    <x v="890"/>
    <s v="Regular"/>
    <n v="9339944004845"/>
    <x v="53"/>
    <n v="1"/>
    <n v="35.700000000000003"/>
    <n v="0"/>
    <n v="0"/>
    <n v="0"/>
    <n v="35.700000000000003"/>
    <n v="0"/>
    <n v="35.700000000000003"/>
    <n v="1"/>
  </r>
  <r>
    <x v="891"/>
    <s v="Regular"/>
    <n v="9369900019828"/>
    <x v="53"/>
    <n v="1"/>
    <n v="84.95"/>
    <n v="0"/>
    <n v="0"/>
    <n v="0"/>
    <n v="84.95"/>
    <n v="0"/>
    <n v="84.95"/>
    <n v="1"/>
  </r>
  <r>
    <x v="892"/>
    <s v="Regular"/>
    <n v="9312336782859"/>
    <x v="53"/>
    <n v="3"/>
    <n v="27"/>
    <n v="0"/>
    <n v="0"/>
    <n v="0"/>
    <n v="27"/>
    <n v="0"/>
    <n v="27"/>
    <n v="3"/>
  </r>
  <r>
    <x v="893"/>
    <s v="Regular"/>
    <n v="9312336782002"/>
    <x v="53"/>
    <n v="1"/>
    <n v="10.6"/>
    <n v="0"/>
    <n v="0"/>
    <n v="-1.39"/>
    <n v="9.2100000000000009"/>
    <n v="0"/>
    <n v="9.2100000000000009"/>
    <n v="1"/>
  </r>
  <r>
    <x v="894"/>
    <s v="Regular"/>
    <n v="9312336783153"/>
    <x v="53"/>
    <n v="1"/>
    <n v="15.2"/>
    <n v="0"/>
    <n v="0"/>
    <n v="0"/>
    <n v="15.2"/>
    <n v="0"/>
    <n v="15.2"/>
    <n v="1"/>
  </r>
  <r>
    <x v="895"/>
    <s v="Regular"/>
    <n v="100000005712"/>
    <x v="54"/>
    <n v="1"/>
    <n v="180.27"/>
    <n v="0"/>
    <n v="0"/>
    <n v="0"/>
    <n v="180.27"/>
    <n v="18.23"/>
    <n v="198.5"/>
    <n v="1"/>
  </r>
  <r>
    <x v="896"/>
    <s v="Regular"/>
    <n v="9361410000167"/>
    <x v="54"/>
    <n v="2"/>
    <n v="109.4"/>
    <n v="0"/>
    <n v="0"/>
    <n v="0"/>
    <n v="109.4"/>
    <n v="0"/>
    <n v="109.4"/>
    <n v="2"/>
  </r>
  <r>
    <x v="897"/>
    <s v="Regular"/>
    <n v="9415748010821"/>
    <x v="54"/>
    <n v="1"/>
    <n v="9.25"/>
    <n v="0"/>
    <n v="0"/>
    <n v="0"/>
    <n v="9.25"/>
    <n v="0"/>
    <n v="9.25"/>
    <n v="1"/>
  </r>
  <r>
    <x v="898"/>
    <s v="Regular"/>
    <n v="9357204000765"/>
    <x v="54"/>
    <n v="1"/>
    <n v="48.09"/>
    <n v="0"/>
    <n v="0"/>
    <n v="0"/>
    <n v="48.09"/>
    <n v="4.8600000000000003"/>
    <n v="52.95"/>
    <n v="1"/>
  </r>
  <r>
    <x v="899"/>
    <s v="Regular"/>
    <n v="784927299364"/>
    <x v="54"/>
    <n v="2"/>
    <n v="45.2"/>
    <n v="0"/>
    <n v="0"/>
    <n v="0"/>
    <n v="45.2"/>
    <n v="0"/>
    <n v="45.2"/>
    <n v="2"/>
  </r>
  <r>
    <x v="900"/>
    <s v="Regular"/>
    <n v="9339944004432"/>
    <x v="54"/>
    <n v="2"/>
    <n v="53"/>
    <n v="0"/>
    <n v="0"/>
    <n v="0"/>
    <n v="53"/>
    <n v="0"/>
    <n v="53"/>
    <n v="2"/>
  </r>
  <r>
    <x v="901"/>
    <s v="Regular"/>
    <n v="794712893189"/>
    <x v="54"/>
    <n v="2"/>
    <n v="54"/>
    <n v="0"/>
    <n v="0"/>
    <n v="-0.66"/>
    <n v="53.34"/>
    <n v="5.4"/>
    <n v="58.74"/>
    <n v="2"/>
  </r>
  <r>
    <x v="902"/>
    <s v="Regular"/>
    <n v="9312628260522"/>
    <x v="54"/>
    <n v="1"/>
    <n v="43.23"/>
    <n v="0"/>
    <n v="0"/>
    <n v="0"/>
    <n v="43.23"/>
    <n v="4.37"/>
    <n v="47.6"/>
    <n v="1"/>
  </r>
  <r>
    <x v="903"/>
    <s v="Regular"/>
    <n v="9351857005276"/>
    <x v="54"/>
    <n v="1"/>
    <n v="54.5"/>
    <n v="0"/>
    <n v="0"/>
    <n v="0"/>
    <n v="54.5"/>
    <n v="0"/>
    <n v="54.5"/>
    <n v="1"/>
  </r>
  <r>
    <x v="904"/>
    <s v="Regular"/>
    <n v="9351857001407"/>
    <x v="54"/>
    <n v="1"/>
    <n v="21.75"/>
    <n v="0"/>
    <n v="0"/>
    <n v="-21.75"/>
    <n v="0"/>
    <n v="0"/>
    <n v="0"/>
    <n v="1"/>
  </r>
  <r>
    <x v="905"/>
    <s v="Regular"/>
    <n v="9351857001742"/>
    <x v="54"/>
    <n v="1"/>
    <n v="44.95"/>
    <n v="0"/>
    <n v="0"/>
    <n v="0"/>
    <n v="44.95"/>
    <n v="0"/>
    <n v="44.95"/>
    <n v="1"/>
  </r>
  <r>
    <x v="906"/>
    <s v="Regular"/>
    <n v="9413000077520"/>
    <x v="54"/>
    <n v="2"/>
    <n v="14.44"/>
    <n v="0"/>
    <n v="0"/>
    <n v="0"/>
    <n v="14.44"/>
    <n v="1.46"/>
    <n v="15.9"/>
    <n v="2"/>
  </r>
  <r>
    <x v="907"/>
    <s v="Regular"/>
    <n v="9413000082685"/>
    <x v="54"/>
    <n v="6"/>
    <n v="43.41"/>
    <n v="0"/>
    <n v="0"/>
    <n v="-0.95"/>
    <n v="42.46"/>
    <n v="4.29"/>
    <n v="46.75"/>
    <n v="6"/>
  </r>
  <r>
    <x v="908"/>
    <s v="Regular"/>
    <n v="9421907339023"/>
    <x v="54"/>
    <n v="4"/>
    <n v="28.95"/>
    <n v="0"/>
    <n v="0"/>
    <n v="-0.82"/>
    <n v="28.13"/>
    <n v="2.85"/>
    <n v="30.98"/>
    <n v="4"/>
  </r>
  <r>
    <x v="909"/>
    <s v="Regular"/>
    <n v="9421907339047"/>
    <x v="54"/>
    <n v="1"/>
    <n v="7.22"/>
    <n v="0"/>
    <n v="0"/>
    <n v="0"/>
    <n v="7.22"/>
    <n v="0.73"/>
    <n v="7.95"/>
    <n v="1"/>
  </r>
  <r>
    <x v="910"/>
    <s v="Regular"/>
    <n v="9413000077513"/>
    <x v="54"/>
    <n v="5"/>
    <n v="36.119999999999997"/>
    <n v="0"/>
    <n v="0"/>
    <n v="-0.23"/>
    <n v="35.89"/>
    <n v="3.63"/>
    <n v="39.520000000000003"/>
    <n v="5"/>
  </r>
  <r>
    <x v="911"/>
    <s v="Regular"/>
    <n v="9326224002103"/>
    <x v="54"/>
    <n v="1"/>
    <n v="19.690000000000001"/>
    <n v="0"/>
    <n v="0"/>
    <n v="-4.25"/>
    <n v="15.44"/>
    <n v="1.56"/>
    <n v="17"/>
    <n v="1"/>
  </r>
  <r>
    <x v="912"/>
    <s v="Regular"/>
    <n v="9326224002257"/>
    <x v="54"/>
    <n v="1"/>
    <n v="6.81"/>
    <n v="0"/>
    <n v="0"/>
    <n v="0"/>
    <n v="6.81"/>
    <n v="0.69"/>
    <n v="7.5"/>
    <n v="1"/>
  </r>
  <r>
    <x v="913"/>
    <s v="Regular"/>
    <n v="726684624119"/>
    <x v="54"/>
    <n v="1"/>
    <n v="36.950000000000003"/>
    <n v="0"/>
    <n v="0"/>
    <n v="-36.950000000000003"/>
    <n v="0"/>
    <n v="0"/>
    <n v="0"/>
    <n v="1"/>
  </r>
  <r>
    <x v="914"/>
    <s v="Regular"/>
    <n v="726684624126"/>
    <x v="54"/>
    <n v="2"/>
    <n v="87.54"/>
    <n v="0"/>
    <n v="0"/>
    <n v="-4.8"/>
    <n v="82.74"/>
    <n v="8.36"/>
    <n v="91.1"/>
    <n v="2"/>
  </r>
  <r>
    <x v="915"/>
    <s v="Regular"/>
    <n v="726684624300"/>
    <x v="54"/>
    <n v="1"/>
    <n v="33.56"/>
    <n v="0"/>
    <n v="0"/>
    <n v="0"/>
    <n v="33.56"/>
    <n v="3.39"/>
    <n v="36.950000000000003"/>
    <n v="1"/>
  </r>
  <r>
    <x v="916"/>
    <s v="Regular"/>
    <n v="726684624034"/>
    <x v="54"/>
    <n v="5"/>
    <n v="144.21"/>
    <n v="0"/>
    <n v="0"/>
    <n v="0"/>
    <n v="144.21"/>
    <n v="14.54"/>
    <n v="158.75"/>
    <n v="5"/>
  </r>
  <r>
    <x v="917"/>
    <s v="Regular"/>
    <n v="726684624010"/>
    <x v="54"/>
    <n v="5"/>
    <n v="204.1"/>
    <n v="0"/>
    <n v="0"/>
    <n v="0"/>
    <n v="204.1"/>
    <n v="20.65"/>
    <n v="224.75"/>
    <n v="5"/>
  </r>
  <r>
    <x v="918"/>
    <s v="Regular"/>
    <n v="726684624157"/>
    <x v="54"/>
    <n v="2"/>
    <n v="67.12"/>
    <n v="0"/>
    <n v="0"/>
    <n v="0"/>
    <n v="67.12"/>
    <n v="6.78"/>
    <n v="73.900000000000006"/>
    <n v="2"/>
  </r>
  <r>
    <x v="919"/>
    <s v="Regular"/>
    <n v="726684624072"/>
    <x v="54"/>
    <n v="1"/>
    <n v="33.56"/>
    <n v="0"/>
    <n v="0"/>
    <n v="0"/>
    <n v="33.56"/>
    <n v="3.39"/>
    <n v="36.950000000000003"/>
    <n v="1"/>
  </r>
  <r>
    <x v="920"/>
    <s v="Regular"/>
    <n v="9343723007286"/>
    <x v="54"/>
    <n v="1"/>
    <n v="77.14"/>
    <n v="0"/>
    <n v="0"/>
    <n v="0"/>
    <n v="77.14"/>
    <n v="7.81"/>
    <n v="84.95"/>
    <n v="1"/>
  </r>
  <r>
    <x v="921"/>
    <s v="Regular"/>
    <s v="R447941"/>
    <x v="54"/>
    <n v="1"/>
    <n v="22.5"/>
    <n v="0"/>
    <n v="0"/>
    <n v="0"/>
    <n v="22.5"/>
    <n v="0"/>
    <n v="22.5"/>
    <n v="1"/>
  </r>
  <r>
    <x v="922"/>
    <s v="Regular"/>
    <n v="781005327155"/>
    <x v="54"/>
    <n v="2"/>
    <n v="70.84"/>
    <n v="0"/>
    <n v="0"/>
    <n v="0"/>
    <n v="70.84"/>
    <n v="7.16"/>
    <n v="78"/>
    <n v="2"/>
  </r>
  <r>
    <x v="923"/>
    <s v="Regular"/>
    <n v="9369998266401"/>
    <x v="54"/>
    <n v="1"/>
    <n v="29.75"/>
    <n v="0"/>
    <n v="0"/>
    <n v="0"/>
    <n v="29.75"/>
    <n v="0"/>
    <n v="29.75"/>
    <n v="1"/>
  </r>
  <r>
    <x v="924"/>
    <s v="Regular"/>
    <n v="9360964000159"/>
    <x v="54"/>
    <n v="3"/>
    <n v="49.05"/>
    <n v="0"/>
    <n v="0"/>
    <n v="-1.64"/>
    <n v="47.41"/>
    <n v="4.8"/>
    <n v="52.21"/>
    <n v="3"/>
  </r>
  <r>
    <x v="925"/>
    <s v="Regular"/>
    <n v="9360964000029"/>
    <x v="54"/>
    <n v="1"/>
    <n v="63.53"/>
    <n v="0"/>
    <n v="0"/>
    <n v="0"/>
    <n v="63.53"/>
    <n v="6.42"/>
    <n v="69.95"/>
    <n v="1"/>
  </r>
  <r>
    <x v="926"/>
    <s v="Regular"/>
    <n v="9360964000227"/>
    <x v="54"/>
    <n v="1"/>
    <n v="63.53"/>
    <n v="0"/>
    <n v="0"/>
    <n v="0"/>
    <n v="63.53"/>
    <n v="6.42"/>
    <n v="69.95"/>
    <n v="1"/>
  </r>
  <r>
    <x v="927"/>
    <s v="Regular"/>
    <n v="9360964000074"/>
    <x v="54"/>
    <n v="1"/>
    <n v="63.87"/>
    <n v="0"/>
    <n v="0"/>
    <n v="-3.8"/>
    <n v="60.07"/>
    <n v="6.08"/>
    <n v="66.150000000000006"/>
    <n v="1"/>
  </r>
  <r>
    <x v="928"/>
    <s v="Regular"/>
    <n v="9351857005054"/>
    <x v="54"/>
    <n v="1"/>
    <n v="21.2"/>
    <n v="0"/>
    <n v="0"/>
    <n v="0"/>
    <n v="21.2"/>
    <n v="0"/>
    <n v="21.2"/>
    <n v="1"/>
  </r>
  <r>
    <x v="929"/>
    <s v="Regular"/>
    <n v="9351857005146"/>
    <x v="54"/>
    <n v="1"/>
    <n v="34.69"/>
    <n v="0"/>
    <n v="0"/>
    <n v="0"/>
    <n v="34.69"/>
    <n v="3.51"/>
    <n v="38.200000000000003"/>
    <n v="1"/>
  </r>
  <r>
    <x v="930"/>
    <s v="Regular"/>
    <n v="9354444002665"/>
    <x v="54"/>
    <n v="1"/>
    <n v="49.9"/>
    <n v="0"/>
    <n v="0"/>
    <n v="0"/>
    <n v="49.9"/>
    <n v="5.05"/>
    <n v="54.95"/>
    <n v="1"/>
  </r>
  <r>
    <x v="931"/>
    <s v="Regular"/>
    <n v="9354444000104"/>
    <x v="54"/>
    <n v="2"/>
    <n v="83.46"/>
    <n v="0"/>
    <n v="0"/>
    <n v="0"/>
    <n v="83.46"/>
    <n v="8.44"/>
    <n v="91.9"/>
    <n v="2"/>
  </r>
  <r>
    <x v="932"/>
    <s v="Regular"/>
    <n v="9354444002405"/>
    <x v="54"/>
    <n v="3"/>
    <n v="199.25"/>
    <n v="0"/>
    <n v="0"/>
    <n v="-3.96"/>
    <n v="195.29"/>
    <n v="19.75"/>
    <n v="215.04"/>
    <n v="3"/>
  </r>
  <r>
    <x v="933"/>
    <s v="Regular"/>
    <n v="9354444002382"/>
    <x v="54"/>
    <n v="1"/>
    <n v="66.290000000000006"/>
    <n v="0"/>
    <n v="0"/>
    <n v="0"/>
    <n v="66.290000000000006"/>
    <n v="6.71"/>
    <n v="73"/>
    <n v="1"/>
  </r>
  <r>
    <x v="934"/>
    <s v="Regular"/>
    <n v="1992122"/>
    <x v="54"/>
    <n v="3"/>
    <n v="13.08"/>
    <n v="0"/>
    <n v="0"/>
    <n v="0"/>
    <n v="13.08"/>
    <n v="1.32"/>
    <n v="14.4"/>
    <n v="3"/>
  </r>
  <r>
    <x v="935"/>
    <s v="Regular"/>
    <n v="9354444002092"/>
    <x v="54"/>
    <n v="1"/>
    <n v="45.36"/>
    <n v="0"/>
    <n v="0"/>
    <n v="0"/>
    <n v="45.36"/>
    <n v="4.59"/>
    <n v="49.95"/>
    <n v="1"/>
  </r>
  <r>
    <x v="936"/>
    <s v="Regular"/>
    <n v="9354444000203"/>
    <x v="54"/>
    <n v="2"/>
    <n v="172.92"/>
    <n v="0"/>
    <n v="0"/>
    <n v="-5"/>
    <n v="167.92"/>
    <n v="16.98"/>
    <n v="184.9"/>
    <n v="2"/>
  </r>
  <r>
    <x v="937"/>
    <s v="Regular"/>
    <n v="9354444002030"/>
    <x v="54"/>
    <n v="1"/>
    <n v="45.36"/>
    <n v="0"/>
    <n v="0"/>
    <n v="0"/>
    <n v="45.36"/>
    <n v="4.59"/>
    <n v="49.95"/>
    <n v="1"/>
  </r>
  <r>
    <x v="938"/>
    <s v="Regular"/>
    <n v="9354444002122"/>
    <x v="54"/>
    <n v="1"/>
    <n v="45.36"/>
    <n v="0"/>
    <n v="0"/>
    <n v="0"/>
    <n v="45.36"/>
    <n v="4.59"/>
    <n v="49.95"/>
    <n v="1"/>
  </r>
  <r>
    <x v="939"/>
    <s v="Good Cookie"/>
    <s v="699598R"/>
    <x v="55"/>
    <n v="27"/>
    <n v="147.15"/>
    <n v="0"/>
    <n v="0"/>
    <n v="0"/>
    <n v="147.15"/>
    <n v="14.85"/>
    <n v="162"/>
    <n v="27"/>
  </r>
  <r>
    <x v="939"/>
    <s v="Loaded Pistachio Cookie"/>
    <n v="5065938"/>
    <x v="55"/>
    <n v="37"/>
    <n v="300.95"/>
    <n v="0"/>
    <n v="0"/>
    <n v="-1.79"/>
    <n v="299.16000000000003"/>
    <n v="30.2"/>
    <n v="329.36"/>
    <n v="37"/>
  </r>
  <r>
    <x v="939"/>
    <s v="Mini Banana Bread"/>
    <n v="7053389"/>
    <x v="55"/>
    <n v="20"/>
    <n v="155.81"/>
    <n v="0"/>
    <n v="0"/>
    <n v="-15.3"/>
    <n v="140.51"/>
    <n v="14.19"/>
    <n v="154.69999999999999"/>
    <n v="20"/>
  </r>
  <r>
    <x v="939"/>
    <s v="Orange Muffin"/>
    <s v="Z265760"/>
    <x v="55"/>
    <n v="14"/>
    <n v="89.1"/>
    <n v="0"/>
    <n v="0"/>
    <n v="-0.78"/>
    <n v="88.32"/>
    <n v="8.9"/>
    <n v="97.22"/>
    <n v="14"/>
  </r>
  <r>
    <x v="939"/>
    <s v="Savoury Muffin"/>
    <n v="1774868"/>
    <x v="55"/>
    <n v="18"/>
    <n v="149.12"/>
    <n v="0"/>
    <n v="0"/>
    <n v="-11.7"/>
    <n v="137.41999999999999"/>
    <n v="13.88"/>
    <n v="151.30000000000001"/>
    <n v="18"/>
  </r>
  <r>
    <x v="940"/>
    <s v="Brookie"/>
    <s v="Z958215"/>
    <x v="55"/>
    <n v="14"/>
    <n v="108.08"/>
    <n v="0"/>
    <n v="0"/>
    <n v="0"/>
    <n v="108.08"/>
    <n v="10.92"/>
    <n v="119"/>
    <n v="14"/>
  </r>
  <r>
    <x v="940"/>
    <s v="Caramel Date"/>
    <s v="G358412"/>
    <x v="55"/>
    <n v="5"/>
    <n v="27.42"/>
    <n v="0"/>
    <n v="0"/>
    <n v="-1.86"/>
    <n v="25.56"/>
    <n v="2.58"/>
    <n v="28.14"/>
    <n v="5"/>
  </r>
  <r>
    <x v="940"/>
    <s v="Choc Puffed Rice"/>
    <n v="7276850"/>
    <x v="55"/>
    <n v="13"/>
    <n v="70.88"/>
    <n v="0"/>
    <n v="0"/>
    <n v="0"/>
    <n v="70.88"/>
    <n v="7.12"/>
    <n v="78"/>
    <n v="13"/>
  </r>
  <r>
    <x v="940"/>
    <s v="Macadamia Choc Brownie"/>
    <s v="N101272"/>
    <x v="55"/>
    <n v="12"/>
    <n v="87.19"/>
    <n v="0"/>
    <n v="0"/>
    <n v="0"/>
    <n v="87.19"/>
    <n v="8.81"/>
    <n v="96"/>
    <n v="12"/>
  </r>
  <r>
    <x v="940"/>
    <s v="Peanut Butter Hemp &amp; Chia Cup"/>
    <s v="596421C"/>
    <x v="55"/>
    <n v="5"/>
    <n v="22.7"/>
    <n v="0"/>
    <n v="0"/>
    <n v="0"/>
    <n v="22.7"/>
    <n v="2.2999999999999998"/>
    <n v="25"/>
    <n v="5"/>
  </r>
  <r>
    <x v="940"/>
    <s v="Pistachio Stuffed Date"/>
    <s v="584353C"/>
    <x v="55"/>
    <n v="5"/>
    <n v="27.34"/>
    <n v="0"/>
    <n v="0"/>
    <n v="-1.02"/>
    <n v="26.32"/>
    <n v="2.66"/>
    <n v="28.98"/>
    <n v="5"/>
  </r>
  <r>
    <x v="940"/>
    <s v="Pistachio Tart"/>
    <s v="768166L"/>
    <x v="55"/>
    <n v="4"/>
    <n v="29.07"/>
    <n v="0"/>
    <n v="0"/>
    <n v="0"/>
    <n v="29.07"/>
    <n v="2.93"/>
    <n v="32"/>
    <n v="4"/>
  </r>
  <r>
    <x v="940"/>
    <s v="Superfood Bar"/>
    <s v="358090J"/>
    <x v="55"/>
    <n v="14"/>
    <n v="95.86"/>
    <n v="0"/>
    <n v="0"/>
    <n v="-5.37"/>
    <n v="90.49"/>
    <n v="9.14"/>
    <n v="99.63"/>
    <n v="14"/>
  </r>
  <r>
    <x v="940"/>
    <s v="Vanilla Cranberry Bliss Ball"/>
    <s v="359417Z"/>
    <x v="55"/>
    <n v="2"/>
    <n v="9.99"/>
    <n v="0"/>
    <n v="0"/>
    <n v="0"/>
    <n v="9.99"/>
    <n v="1.01"/>
    <n v="11"/>
    <n v="2"/>
  </r>
  <r>
    <x v="941"/>
    <s v="Bounty"/>
    <s v="767065P"/>
    <x v="55"/>
    <n v="4"/>
    <n v="25.24"/>
    <n v="0"/>
    <n v="0"/>
    <n v="0"/>
    <n v="25.24"/>
    <n v="2.56"/>
    <n v="27.8"/>
    <n v="4"/>
  </r>
  <r>
    <x v="941"/>
    <s v="Chocolate Mud Cake"/>
    <s v="G862053"/>
    <x v="55"/>
    <n v="11"/>
    <n v="79.89"/>
    <n v="0"/>
    <n v="0"/>
    <n v="-5"/>
    <n v="74.89"/>
    <n v="7.56"/>
    <n v="82.45"/>
    <n v="11"/>
  </r>
  <r>
    <x v="941"/>
    <s v="Coconut Rough BP"/>
    <s v="767837M"/>
    <x v="55"/>
    <n v="5"/>
    <n v="20.49"/>
    <n v="0"/>
    <n v="0"/>
    <n v="-0.45"/>
    <n v="20.04"/>
    <n v="2.0099999999999998"/>
    <n v="22.05"/>
    <n v="5"/>
  </r>
  <r>
    <x v="941"/>
    <s v="Ferrero Rawcher"/>
    <n v="6948047"/>
    <x v="55"/>
    <n v="4"/>
    <n v="25.24"/>
    <n v="0"/>
    <n v="0"/>
    <n v="0"/>
    <n v="25.24"/>
    <n v="2.56"/>
    <n v="27.8"/>
    <n v="4"/>
  </r>
  <r>
    <x v="941"/>
    <s v="Hazelnut Bueno"/>
    <s v="583622Q"/>
    <x v="55"/>
    <n v="8"/>
    <n v="57.76"/>
    <n v="0"/>
    <n v="0"/>
    <n v="0"/>
    <n v="57.76"/>
    <n v="5.84"/>
    <n v="63.6"/>
    <n v="8"/>
  </r>
  <r>
    <x v="941"/>
    <s v="Marz"/>
    <s v="A206360"/>
    <x v="55"/>
    <n v="6"/>
    <n v="37.869999999999997"/>
    <n v="0"/>
    <n v="0"/>
    <n v="0"/>
    <n v="37.869999999999997"/>
    <n v="3.83"/>
    <n v="41.7"/>
    <n v="6"/>
  </r>
  <r>
    <x v="941"/>
    <s v="Notella Bar"/>
    <n v="3392105"/>
    <x v="55"/>
    <n v="1"/>
    <n v="5.68"/>
    <n v="0"/>
    <n v="0"/>
    <n v="0"/>
    <n v="5.68"/>
    <n v="0.56999999999999995"/>
    <n v="6.25"/>
    <n v="1"/>
  </r>
  <r>
    <x v="941"/>
    <s v="PB Brownie"/>
    <s v="893478E"/>
    <x v="55"/>
    <n v="8"/>
    <n v="57.99"/>
    <n v="0"/>
    <n v="0"/>
    <n v="-2.58"/>
    <n v="55.41"/>
    <n v="5.61"/>
    <n v="61.02"/>
    <n v="8"/>
  </r>
  <r>
    <x v="941"/>
    <s v="Passionfruit Cheesecake"/>
    <s v="633001E"/>
    <x v="55"/>
    <n v="8"/>
    <n v="50.49"/>
    <n v="0"/>
    <n v="0"/>
    <n v="0"/>
    <n v="50.49"/>
    <n v="5.1100000000000003"/>
    <n v="55.6"/>
    <n v="8"/>
  </r>
  <r>
    <x v="941"/>
    <s v="Peanut Butter Cup"/>
    <s v="549009A"/>
    <x v="55"/>
    <n v="5"/>
    <n v="25.23"/>
    <n v="0"/>
    <n v="0"/>
    <n v="-2.85"/>
    <n v="22.38"/>
    <n v="2.27"/>
    <n v="24.65"/>
    <n v="5"/>
  </r>
  <r>
    <x v="941"/>
    <s v="Snickerz"/>
    <s v="R186569"/>
    <x v="55"/>
    <n v="13"/>
    <n v="82.16"/>
    <n v="0"/>
    <n v="0"/>
    <n v="-1.2"/>
    <n v="80.959999999999994"/>
    <n v="8.19"/>
    <n v="89.15"/>
    <n v="13"/>
  </r>
  <r>
    <x v="942"/>
    <s v="Regular"/>
    <n v="680275057932"/>
    <x v="56"/>
    <n v="1"/>
    <n v="9.25"/>
    <n v="0"/>
    <n v="0"/>
    <n v="0"/>
    <n v="9.25"/>
    <n v="0"/>
    <n v="9.25"/>
    <n v="1"/>
  </r>
  <r>
    <x v="943"/>
    <s v="Regular"/>
    <n v="819005011528"/>
    <x v="56"/>
    <n v="1"/>
    <n v="14.8"/>
    <n v="0"/>
    <n v="0"/>
    <n v="0"/>
    <n v="14.8"/>
    <n v="0"/>
    <n v="14.8"/>
    <n v="1"/>
  </r>
  <r>
    <x v="944"/>
    <s v="Regular"/>
    <n v="819005010170"/>
    <x v="56"/>
    <n v="2"/>
    <n v="31.8"/>
    <n v="0"/>
    <n v="0"/>
    <n v="0"/>
    <n v="31.8"/>
    <n v="0"/>
    <n v="31.8"/>
    <n v="2"/>
  </r>
  <r>
    <x v="945"/>
    <s v="Regular"/>
    <n v="819005010286"/>
    <x v="56"/>
    <n v="2"/>
    <n v="29.6"/>
    <n v="0"/>
    <n v="0"/>
    <n v="0"/>
    <n v="29.6"/>
    <n v="0"/>
    <n v="29.6"/>
    <n v="2"/>
  </r>
  <r>
    <x v="946"/>
    <s v="Regular"/>
    <n v="819005010361"/>
    <x v="56"/>
    <n v="1"/>
    <n v="14.8"/>
    <n v="0"/>
    <n v="0"/>
    <n v="0"/>
    <n v="14.8"/>
    <n v="0"/>
    <n v="14.8"/>
    <n v="1"/>
  </r>
  <r>
    <x v="947"/>
    <s v="Regular"/>
    <n v="819005010392"/>
    <x v="56"/>
    <n v="1"/>
    <n v="14.8"/>
    <n v="0"/>
    <n v="0"/>
    <n v="0"/>
    <n v="14.8"/>
    <n v="0"/>
    <n v="14.8"/>
    <n v="1"/>
  </r>
  <r>
    <x v="948"/>
    <s v="Regular"/>
    <n v="819005011511"/>
    <x v="56"/>
    <n v="1"/>
    <n v="14.8"/>
    <n v="0"/>
    <n v="0"/>
    <n v="0"/>
    <n v="14.8"/>
    <n v="0"/>
    <n v="14.8"/>
    <n v="1"/>
  </r>
  <r>
    <x v="949"/>
    <s v="Regular"/>
    <n v="9421035973533"/>
    <x v="56"/>
    <n v="1"/>
    <n v="9.25"/>
    <n v="0"/>
    <n v="0"/>
    <n v="0"/>
    <n v="9.25"/>
    <n v="0"/>
    <n v="9.25"/>
    <n v="1"/>
  </r>
  <r>
    <x v="950"/>
    <s v="Regular"/>
    <n v="680275029250"/>
    <x v="56"/>
    <n v="2"/>
    <n v="17.5"/>
    <n v="0"/>
    <n v="0"/>
    <n v="-0.88"/>
    <n v="16.62"/>
    <n v="0"/>
    <n v="16.62"/>
    <n v="2"/>
  </r>
  <r>
    <x v="951"/>
    <s v="Regular"/>
    <n v="680275029168"/>
    <x v="56"/>
    <n v="1"/>
    <n v="8.75"/>
    <n v="0"/>
    <n v="0"/>
    <n v="0"/>
    <n v="8.75"/>
    <n v="0"/>
    <n v="8.75"/>
    <n v="1"/>
  </r>
  <r>
    <x v="952"/>
    <s v="Regular"/>
    <n v="680275029090"/>
    <x v="56"/>
    <n v="2"/>
    <n v="17.5"/>
    <n v="0"/>
    <n v="0"/>
    <n v="-8.75"/>
    <n v="8.75"/>
    <n v="0"/>
    <n v="8.75"/>
    <n v="2"/>
  </r>
  <r>
    <x v="953"/>
    <s v="Regular"/>
    <n v="680275029151"/>
    <x v="56"/>
    <n v="2"/>
    <n v="17.5"/>
    <n v="0"/>
    <n v="0"/>
    <n v="-1.68"/>
    <n v="15.82"/>
    <n v="0"/>
    <n v="15.82"/>
    <n v="2"/>
  </r>
  <r>
    <x v="954"/>
    <s v="Regular"/>
    <n v="680275029106"/>
    <x v="56"/>
    <n v="1"/>
    <n v="8.75"/>
    <n v="0"/>
    <n v="0"/>
    <n v="0"/>
    <n v="8.75"/>
    <n v="0"/>
    <n v="8.75"/>
    <n v="1"/>
  </r>
  <r>
    <x v="955"/>
    <s v="Regular"/>
    <n v="9351857000158"/>
    <x v="56"/>
    <n v="1"/>
    <n v="18"/>
    <n v="0"/>
    <n v="0"/>
    <n v="0"/>
    <n v="18"/>
    <n v="0"/>
    <n v="18"/>
    <n v="1"/>
  </r>
  <r>
    <x v="956"/>
    <s v="Regular"/>
    <n v="9351857001506"/>
    <x v="56"/>
    <n v="1"/>
    <n v="19.100000000000001"/>
    <n v="0"/>
    <n v="0"/>
    <n v="0"/>
    <n v="19.100000000000001"/>
    <n v="0"/>
    <n v="19.100000000000001"/>
    <n v="1"/>
  </r>
  <r>
    <x v="957"/>
    <s v="Regular"/>
    <n v="9351857008062"/>
    <x v="56"/>
    <n v="1"/>
    <n v="17.95"/>
    <n v="0"/>
    <n v="0"/>
    <n v="0"/>
    <n v="17.95"/>
    <n v="0"/>
    <n v="17.95"/>
    <n v="1"/>
  </r>
  <r>
    <x v="958"/>
    <s v="Regular"/>
    <n v="9351857000585"/>
    <x v="56"/>
    <n v="1"/>
    <n v="18"/>
    <n v="0"/>
    <n v="0"/>
    <n v="0"/>
    <n v="18"/>
    <n v="0"/>
    <n v="18"/>
    <n v="1"/>
  </r>
  <r>
    <x v="959"/>
    <s v="Regular"/>
    <n v="619286718006"/>
    <x v="56"/>
    <n v="2"/>
    <n v="19"/>
    <n v="0"/>
    <n v="0"/>
    <n v="0"/>
    <n v="19"/>
    <n v="0"/>
    <n v="19"/>
    <n v="2"/>
  </r>
  <r>
    <x v="960"/>
    <s v="Regular"/>
    <n v="619286717009"/>
    <x v="56"/>
    <n v="1"/>
    <n v="9.5"/>
    <n v="0"/>
    <n v="0"/>
    <n v="0"/>
    <n v="9.5"/>
    <n v="0"/>
    <n v="9.5"/>
    <n v="1"/>
  </r>
  <r>
    <x v="961"/>
    <s v="Regular"/>
    <n v="6719297"/>
    <x v="56"/>
    <n v="2"/>
    <n v="20.399999999999999"/>
    <n v="0"/>
    <n v="0"/>
    <n v="0"/>
    <n v="20.399999999999999"/>
    <n v="0"/>
    <n v="20.399999999999999"/>
    <n v="2"/>
  </r>
  <r>
    <x v="962"/>
    <s v="Regular"/>
    <n v="801541000524"/>
    <x v="56"/>
    <n v="2"/>
    <n v="20.399999999999999"/>
    <n v="0"/>
    <n v="0"/>
    <n v="0"/>
    <n v="20.399999999999999"/>
    <n v="0"/>
    <n v="20.399999999999999"/>
    <n v="2"/>
  </r>
  <r>
    <x v="963"/>
    <s v="Regular"/>
    <n v="801541000517"/>
    <x v="56"/>
    <n v="1"/>
    <n v="10.199999999999999"/>
    <n v="0"/>
    <n v="0"/>
    <n v="0"/>
    <n v="10.199999999999999"/>
    <n v="0"/>
    <n v="10.199999999999999"/>
    <n v="1"/>
  </r>
  <r>
    <x v="964"/>
    <s v="Regular"/>
    <n v="801541000500"/>
    <x v="56"/>
    <n v="1"/>
    <n v="10.199999999999999"/>
    <n v="0"/>
    <n v="0"/>
    <n v="0"/>
    <n v="10.199999999999999"/>
    <n v="0"/>
    <n v="10.199999999999999"/>
    <n v="1"/>
  </r>
  <r>
    <x v="965"/>
    <s v="Regular"/>
    <n v="801541050505"/>
    <x v="56"/>
    <n v="1"/>
    <n v="9"/>
    <n v="0"/>
    <n v="0"/>
    <n v="0"/>
    <n v="9"/>
    <n v="0"/>
    <n v="9"/>
    <n v="1"/>
  </r>
  <r>
    <x v="966"/>
    <s v="Regular"/>
    <n v="801541500123"/>
    <x v="56"/>
    <n v="1"/>
    <n v="9"/>
    <n v="0"/>
    <n v="0"/>
    <n v="0"/>
    <n v="9"/>
    <n v="0"/>
    <n v="9"/>
    <n v="1"/>
  </r>
  <r>
    <x v="967"/>
    <s v="Regular"/>
    <n v="801541507580"/>
    <x v="56"/>
    <n v="2"/>
    <n v="18"/>
    <n v="0"/>
    <n v="0"/>
    <n v="0"/>
    <n v="18"/>
    <n v="0"/>
    <n v="18"/>
    <n v="2"/>
  </r>
  <r>
    <x v="968"/>
    <s v="Regular"/>
    <n v="801541500161"/>
    <x v="56"/>
    <n v="2"/>
    <n v="18"/>
    <n v="0"/>
    <n v="0"/>
    <n v="0"/>
    <n v="18"/>
    <n v="0"/>
    <n v="18"/>
    <n v="2"/>
  </r>
  <r>
    <x v="969"/>
    <s v="Regular"/>
    <n v="653783000547"/>
    <x v="56"/>
    <n v="1"/>
    <n v="8.4499999999999993"/>
    <n v="0"/>
    <n v="0"/>
    <n v="0"/>
    <n v="8.4499999999999993"/>
    <n v="0"/>
    <n v="8.4499999999999993"/>
    <n v="1"/>
  </r>
  <r>
    <x v="970"/>
    <s v="Regular"/>
    <n v="9351693000855"/>
    <x v="56"/>
    <n v="3"/>
    <n v="32.85"/>
    <n v="0"/>
    <n v="0"/>
    <n v="-1.38"/>
    <n v="31.47"/>
    <n v="0"/>
    <n v="31.47"/>
    <n v="3"/>
  </r>
  <r>
    <x v="971"/>
    <s v="Regular"/>
    <n v="9351693000886"/>
    <x v="56"/>
    <n v="1"/>
    <n v="10.95"/>
    <n v="0"/>
    <n v="0"/>
    <n v="0"/>
    <n v="10.95"/>
    <n v="0"/>
    <n v="10.95"/>
    <n v="1"/>
  </r>
  <r>
    <x v="972"/>
    <s v="Regular"/>
    <n v="9351693000879"/>
    <x v="56"/>
    <n v="2"/>
    <n v="21.9"/>
    <n v="0"/>
    <n v="0"/>
    <n v="0"/>
    <n v="21.9"/>
    <n v="0"/>
    <n v="21.9"/>
    <n v="2"/>
  </r>
  <r>
    <x v="973"/>
    <s v="Regular"/>
    <n v="722267722197"/>
    <x v="56"/>
    <n v="1"/>
    <n v="12.75"/>
    <n v="0"/>
    <n v="0"/>
    <n v="0"/>
    <n v="12.75"/>
    <n v="0"/>
    <n v="12.75"/>
    <n v="1"/>
  </r>
  <r>
    <x v="974"/>
    <s v="Regular"/>
    <n v="709402263760"/>
    <x v="56"/>
    <n v="1"/>
    <n v="12.75"/>
    <n v="0"/>
    <n v="0"/>
    <n v="0"/>
    <n v="12.75"/>
    <n v="0"/>
    <n v="12.75"/>
    <n v="1"/>
  </r>
  <r>
    <x v="975"/>
    <s v="Regular"/>
    <n v="759321993538"/>
    <x v="56"/>
    <n v="2"/>
    <n v="25.5"/>
    <n v="0"/>
    <n v="0"/>
    <n v="0"/>
    <n v="25.5"/>
    <n v="0"/>
    <n v="25.5"/>
    <n v="2"/>
  </r>
  <r>
    <x v="976"/>
    <s v="Regular"/>
    <n v="9421035971096"/>
    <x v="57"/>
    <n v="6"/>
    <n v="31.07"/>
    <n v="0"/>
    <n v="0"/>
    <n v="0"/>
    <n v="31.07"/>
    <n v="3.13"/>
    <n v="34.200000000000003"/>
    <n v="6"/>
  </r>
  <r>
    <x v="977"/>
    <s v="Regular"/>
    <n v="9415748020981"/>
    <x v="57"/>
    <n v="3"/>
    <n v="13.58"/>
    <n v="0"/>
    <n v="0"/>
    <n v="-0.99"/>
    <n v="12.59"/>
    <n v="1.27"/>
    <n v="13.86"/>
    <n v="3"/>
  </r>
  <r>
    <x v="978"/>
    <s v="Regular"/>
    <n v="851093004488"/>
    <x v="57"/>
    <n v="6"/>
    <n v="69.59"/>
    <n v="0"/>
    <n v="0"/>
    <n v="-3.81"/>
    <n v="65.78"/>
    <n v="6.61"/>
    <n v="72.39"/>
    <n v="6"/>
  </r>
  <r>
    <x v="979"/>
    <s v="Regular"/>
    <n v="850023446183"/>
    <x v="57"/>
    <n v="4"/>
    <n v="38.32"/>
    <n v="0"/>
    <n v="0"/>
    <n v="0"/>
    <n v="38.32"/>
    <n v="3.88"/>
    <n v="42.2"/>
    <n v="4"/>
  </r>
  <r>
    <x v="980"/>
    <s v="Regular"/>
    <n v="9337961000666"/>
    <x v="57"/>
    <n v="2"/>
    <n v="23.32"/>
    <n v="0"/>
    <n v="0"/>
    <n v="-0.7"/>
    <n v="22.62"/>
    <n v="2.2799999999999998"/>
    <n v="24.9"/>
    <n v="2"/>
  </r>
  <r>
    <x v="981"/>
    <s v="Regular"/>
    <n v="9337961000925"/>
    <x v="57"/>
    <n v="2"/>
    <n v="4.59"/>
    <n v="0"/>
    <n v="0"/>
    <n v="-0.5"/>
    <n v="4.09"/>
    <n v="0.41"/>
    <n v="4.5"/>
    <n v="2"/>
  </r>
  <r>
    <x v="982"/>
    <s v="Regular"/>
    <n v="9337961000918"/>
    <x v="57"/>
    <n v="2"/>
    <n v="4.54"/>
    <n v="0"/>
    <n v="0"/>
    <n v="0"/>
    <n v="4.54"/>
    <n v="0.46"/>
    <n v="5"/>
    <n v="2"/>
  </r>
  <r>
    <x v="983"/>
    <s v="Regular"/>
    <n v="841937168377"/>
    <x v="57"/>
    <n v="1"/>
    <n v="2.69"/>
    <n v="0"/>
    <n v="0"/>
    <n v="-0.35"/>
    <n v="2.34"/>
    <n v="0.46"/>
    <n v="2.8"/>
    <n v="1"/>
  </r>
  <r>
    <x v="984"/>
    <s v="Regular"/>
    <n v="841937168353"/>
    <x v="57"/>
    <n v="1"/>
    <n v="2.67"/>
    <n v="0"/>
    <n v="0"/>
    <n v="-0.34"/>
    <n v="2.33"/>
    <n v="0.48"/>
    <n v="2.81"/>
    <n v="1"/>
  </r>
  <r>
    <x v="985"/>
    <s v="Regular"/>
    <n v="794712237570"/>
    <x v="58"/>
    <n v="1"/>
    <n v="14.45"/>
    <n v="0"/>
    <n v="0"/>
    <n v="-8.24"/>
    <n v="6.21"/>
    <n v="0"/>
    <n v="6.21"/>
    <n v="1"/>
  </r>
  <r>
    <x v="986"/>
    <s v="Regular"/>
    <n v="794712237556"/>
    <x v="58"/>
    <n v="2"/>
    <n v="28.9"/>
    <n v="0"/>
    <n v="0"/>
    <n v="-15.47"/>
    <n v="13.43"/>
    <n v="0"/>
    <n v="13.43"/>
    <n v="2"/>
  </r>
  <r>
    <x v="987"/>
    <s v="Regular"/>
    <n v="9312336049013"/>
    <x v="58"/>
    <n v="5"/>
    <n v="28.25"/>
    <n v="0"/>
    <n v="0"/>
    <n v="-22.6"/>
    <n v="5.65"/>
    <n v="0"/>
    <n v="5.65"/>
    <n v="5"/>
  </r>
  <r>
    <x v="988"/>
    <s v="Regular"/>
    <n v="9346940003918"/>
    <x v="58"/>
    <n v="1"/>
    <n v="26.5"/>
    <n v="0"/>
    <n v="0"/>
    <n v="0"/>
    <n v="26.5"/>
    <n v="0"/>
    <n v="26.5"/>
    <n v="1"/>
  </r>
  <r>
    <x v="989"/>
    <s v="Regular"/>
    <n v="9346940003833"/>
    <x v="58"/>
    <n v="2"/>
    <n v="53"/>
    <n v="0"/>
    <n v="0"/>
    <n v="0"/>
    <n v="53"/>
    <n v="0"/>
    <n v="53"/>
    <n v="2"/>
  </r>
  <r>
    <x v="990"/>
    <s v="Regular"/>
    <n v="667736000119"/>
    <x v="58"/>
    <n v="1"/>
    <n v="12.3"/>
    <n v="0"/>
    <n v="0"/>
    <n v="0"/>
    <n v="12.3"/>
    <n v="0"/>
    <n v="12.3"/>
    <n v="1"/>
  </r>
  <r>
    <x v="991"/>
    <s v="Regular"/>
    <n v="9351851002431"/>
    <x v="58"/>
    <n v="1"/>
    <n v="5.5"/>
    <n v="0"/>
    <n v="0"/>
    <n v="0"/>
    <n v="5.5"/>
    <n v="0"/>
    <n v="5.5"/>
    <n v="1"/>
  </r>
  <r>
    <x v="992"/>
    <s v="Regular"/>
    <n v="9351851000109"/>
    <x v="58"/>
    <n v="5"/>
    <n v="54.75"/>
    <n v="0"/>
    <n v="0"/>
    <n v="0"/>
    <n v="54.75"/>
    <n v="0"/>
    <n v="54.75"/>
    <n v="5"/>
  </r>
  <r>
    <x v="993"/>
    <s v="Regular"/>
    <n v="9351851001908"/>
    <x v="58"/>
    <n v="1"/>
    <n v="22.2"/>
    <n v="0"/>
    <n v="0"/>
    <n v="-0.54"/>
    <n v="21.66"/>
    <n v="0"/>
    <n v="21.66"/>
    <n v="1"/>
  </r>
  <r>
    <x v="994"/>
    <s v="Regular"/>
    <n v="9351851001892"/>
    <x v="58"/>
    <n v="3"/>
    <n v="66.599999999999994"/>
    <n v="-1"/>
    <n v="-22.2"/>
    <n v="0"/>
    <n v="44.4"/>
    <n v="0"/>
    <n v="44.4"/>
    <n v="3"/>
  </r>
  <r>
    <x v="995"/>
    <s v="Regular"/>
    <n v="9351851001946"/>
    <x v="58"/>
    <n v="1"/>
    <n v="11.5"/>
    <n v="0"/>
    <n v="0"/>
    <n v="0"/>
    <n v="11.5"/>
    <n v="0"/>
    <n v="11.5"/>
    <n v="1"/>
  </r>
  <r>
    <x v="996"/>
    <s v="Regular"/>
    <n v="9351851001953"/>
    <x v="58"/>
    <n v="3"/>
    <n v="50.85"/>
    <n v="0"/>
    <n v="0"/>
    <n v="-2.4"/>
    <n v="48.45"/>
    <n v="0"/>
    <n v="48.45"/>
    <n v="3"/>
  </r>
  <r>
    <x v="997"/>
    <s v="Regular"/>
    <n v="9329521008618"/>
    <x v="58"/>
    <n v="3"/>
    <n v="29.55"/>
    <n v="0"/>
    <n v="0"/>
    <n v="-3.94"/>
    <n v="25.61"/>
    <n v="0"/>
    <n v="25.61"/>
    <n v="3"/>
  </r>
  <r>
    <x v="998"/>
    <s v="Regular"/>
    <n v="9340111000041"/>
    <x v="58"/>
    <n v="1"/>
    <n v="12.6"/>
    <n v="0"/>
    <n v="0"/>
    <n v="0"/>
    <n v="12.6"/>
    <n v="0"/>
    <n v="12.6"/>
    <n v="1"/>
  </r>
  <r>
    <x v="999"/>
    <s v="Regular"/>
    <n v="9351720000001"/>
    <x v="58"/>
    <n v="6"/>
    <n v="47.7"/>
    <n v="0"/>
    <n v="0"/>
    <n v="0"/>
    <n v="47.7"/>
    <n v="0"/>
    <n v="47.7"/>
    <n v="6"/>
  </r>
  <r>
    <x v="1000"/>
    <s v="Regular"/>
    <n v="9358871000034"/>
    <x v="58"/>
    <n v="7"/>
    <n v="48.65"/>
    <n v="0"/>
    <n v="0"/>
    <n v="-4.17"/>
    <n v="44.48"/>
    <n v="0"/>
    <n v="44.48"/>
    <n v="7"/>
  </r>
  <r>
    <x v="1001"/>
    <s v="Regular"/>
    <n v="9358871000027"/>
    <x v="58"/>
    <n v="1"/>
    <n v="7.15"/>
    <n v="0"/>
    <n v="0"/>
    <n v="0"/>
    <n v="7.15"/>
    <n v="0"/>
    <n v="7.15"/>
    <n v="1"/>
  </r>
  <r>
    <x v="1002"/>
    <s v="Regular"/>
    <n v="9357031000389"/>
    <x v="58"/>
    <n v="11"/>
    <n v="79.2"/>
    <n v="0"/>
    <n v="0"/>
    <n v="-51.42"/>
    <n v="27.78"/>
    <n v="0"/>
    <n v="27.78"/>
    <n v="11"/>
  </r>
  <r>
    <x v="1003"/>
    <s v="Regular"/>
    <n v="9369998121861"/>
    <x v="58"/>
    <n v="3"/>
    <n v="24.6"/>
    <n v="0"/>
    <n v="0"/>
    <n v="-1.1599999999999999"/>
    <n v="23.44"/>
    <n v="0"/>
    <n v="23.44"/>
    <n v="3"/>
  </r>
  <r>
    <x v="1004"/>
    <s v="Regular"/>
    <n v="9314075000409"/>
    <x v="58"/>
    <n v="2"/>
    <n v="24.5"/>
    <n v="0"/>
    <n v="0"/>
    <n v="0"/>
    <n v="24.5"/>
    <n v="0"/>
    <n v="24.5"/>
    <n v="2"/>
  </r>
  <r>
    <x v="1005"/>
    <s v="Regular"/>
    <n v="7394376617379"/>
    <x v="58"/>
    <n v="1"/>
    <n v="7.2"/>
    <n v="0"/>
    <n v="0"/>
    <n v="0"/>
    <n v="7.2"/>
    <n v="0"/>
    <n v="7.2"/>
    <n v="1"/>
  </r>
  <r>
    <x v="1006"/>
    <s v="Regular"/>
    <n v="9358989000001"/>
    <x v="58"/>
    <n v="12"/>
    <n v="74.400000000000006"/>
    <n v="0"/>
    <n v="0"/>
    <n v="-24.8"/>
    <n v="49.6"/>
    <n v="0"/>
    <n v="49.6"/>
    <n v="12"/>
  </r>
  <r>
    <x v="1007"/>
    <s v="Regular"/>
    <n v="9368056974609"/>
    <x v="58"/>
    <n v="1"/>
    <n v="15.8"/>
    <n v="0"/>
    <n v="0"/>
    <n v="0"/>
    <n v="15.8"/>
    <n v="0"/>
    <n v="15.8"/>
    <n v="1"/>
  </r>
  <r>
    <x v="1008"/>
    <s v="Regular"/>
    <n v="9312231231032"/>
    <x v="58"/>
    <n v="3"/>
    <n v="16.350000000000001"/>
    <n v="0"/>
    <n v="0"/>
    <n v="-10.9"/>
    <n v="5.45"/>
    <n v="0"/>
    <n v="5.45"/>
    <n v="3"/>
  </r>
  <r>
    <x v="1009"/>
    <s v="Regular"/>
    <n v="9312231001215"/>
    <x v="58"/>
    <n v="4"/>
    <n v="21"/>
    <n v="0"/>
    <n v="0"/>
    <n v="0"/>
    <n v="21"/>
    <n v="0"/>
    <n v="21"/>
    <n v="4"/>
  </r>
  <r>
    <x v="1010"/>
    <s v="Regular"/>
    <n v="743966004414"/>
    <x v="58"/>
    <n v="1"/>
    <n v="16.149999999999999"/>
    <n v="0"/>
    <n v="0"/>
    <n v="0"/>
    <n v="16.149999999999999"/>
    <n v="0"/>
    <n v="16.149999999999999"/>
    <n v="1"/>
  </r>
  <r>
    <x v="1011"/>
    <s v="Regular"/>
    <s v="K085953"/>
    <x v="59"/>
    <n v="1"/>
    <n v="5.4"/>
    <n v="0"/>
    <n v="0"/>
    <n v="0"/>
    <n v="5.4"/>
    <n v="0"/>
    <n v="5.4"/>
    <n v="1"/>
  </r>
  <r>
    <x v="1012"/>
    <s v="Regular"/>
    <n v="100000014424"/>
    <x v="59"/>
    <n v="2"/>
    <n v="6.45"/>
    <n v="0"/>
    <n v="0"/>
    <n v="-0.08"/>
    <n v="6.37"/>
    <n v="0"/>
    <n v="6.37"/>
    <n v="1.2649999999999999"/>
  </r>
  <r>
    <x v="1013"/>
    <s v="Regular"/>
    <s v="D705013"/>
    <x v="59"/>
    <n v="4"/>
    <n v="12.56"/>
    <n v="0"/>
    <n v="0"/>
    <n v="-0.92"/>
    <n v="11.64"/>
    <n v="0"/>
    <n v="11.64"/>
    <n v="1.18"/>
  </r>
  <r>
    <x v="1014"/>
    <s v="Regular"/>
    <n v="100000012123"/>
    <x v="59"/>
    <n v="1"/>
    <n v="1.68"/>
    <n v="0"/>
    <n v="0"/>
    <n v="0"/>
    <n v="1.68"/>
    <n v="0"/>
    <n v="1.68"/>
    <n v="0.71499999999999997"/>
  </r>
  <r>
    <x v="1015"/>
    <s v="Regular"/>
    <n v="100000006597"/>
    <x v="59"/>
    <n v="3"/>
    <n v="6.96"/>
    <n v="0"/>
    <n v="0"/>
    <n v="-0.94"/>
    <n v="6.02"/>
    <n v="0"/>
    <n v="6.02"/>
    <n v="2.5099999999999998"/>
  </r>
  <r>
    <x v="1016"/>
    <s v="Regular"/>
    <s v="B250693"/>
    <x v="59"/>
    <n v="4"/>
    <n v="37.49"/>
    <n v="0"/>
    <n v="0"/>
    <n v="-1.4"/>
    <n v="36.090000000000003"/>
    <n v="0"/>
    <n v="36.090000000000003"/>
    <n v="1.2250000000000001"/>
  </r>
  <r>
    <x v="1017"/>
    <s v="Regular"/>
    <n v="7896493"/>
    <x v="59"/>
    <n v="3"/>
    <n v="3.49"/>
    <n v="0"/>
    <n v="0"/>
    <n v="0"/>
    <n v="3.49"/>
    <n v="0"/>
    <n v="3.49"/>
    <n v="0.45300000000000001"/>
  </r>
  <r>
    <x v="1018"/>
    <s v="Regular"/>
    <n v="7896493"/>
    <x v="59"/>
    <n v="7"/>
    <n v="18.68"/>
    <n v="0"/>
    <n v="0"/>
    <n v="-0.93"/>
    <n v="17.75"/>
    <n v="0"/>
    <n v="17.75"/>
    <n v="2.4249999999999998"/>
  </r>
  <r>
    <x v="1019"/>
    <s v="Regular"/>
    <s v="C858574"/>
    <x v="59"/>
    <n v="2"/>
    <n v="21.38"/>
    <n v="0"/>
    <n v="0"/>
    <n v="0"/>
    <n v="21.38"/>
    <n v="0"/>
    <n v="21.38"/>
    <n v="1.2250000000000001"/>
  </r>
  <r>
    <x v="1020"/>
    <s v="Regular"/>
    <n v="100000006825"/>
    <x v="59"/>
    <n v="14"/>
    <n v="49.25"/>
    <n v="0"/>
    <n v="0"/>
    <n v="-3.09"/>
    <n v="46.16"/>
    <n v="0"/>
    <n v="46.16"/>
    <n v="4.12"/>
  </r>
  <r>
    <x v="1021"/>
    <s v="Regular"/>
    <s v="496131N"/>
    <x v="59"/>
    <n v="6"/>
    <n v="29.17"/>
    <n v="0"/>
    <n v="0"/>
    <n v="-0.72"/>
    <n v="28.45"/>
    <n v="0"/>
    <n v="28.45"/>
    <n v="0.33"/>
  </r>
  <r>
    <x v="1022"/>
    <s v="Regular"/>
    <n v="100000012291"/>
    <x v="59"/>
    <n v="7"/>
    <n v="11.07"/>
    <n v="0"/>
    <n v="0"/>
    <n v="-1.53"/>
    <n v="9.5399999999999991"/>
    <n v="0"/>
    <n v="9.5399999999999991"/>
    <n v="0.38300000000000001"/>
  </r>
  <r>
    <x v="1023"/>
    <s v="Regular"/>
    <s v="568967C"/>
    <x v="59"/>
    <n v="2"/>
    <n v="24"/>
    <n v="0"/>
    <n v="0"/>
    <n v="-0.76"/>
    <n v="23.24"/>
    <n v="0"/>
    <n v="23.24"/>
    <n v="2"/>
  </r>
  <r>
    <x v="1024"/>
    <s v="Regular"/>
    <n v="1312083"/>
    <x v="59"/>
    <n v="1"/>
    <n v="5.0999999999999996"/>
    <n v="0"/>
    <n v="0"/>
    <n v="0"/>
    <n v="5.0999999999999996"/>
    <n v="0"/>
    <n v="5.0999999999999996"/>
    <n v="1"/>
  </r>
  <r>
    <x v="1025"/>
    <s v="Regular"/>
    <n v="9317466312235"/>
    <x v="59"/>
    <n v="2"/>
    <n v="13.6"/>
    <n v="0"/>
    <n v="0"/>
    <n v="0"/>
    <n v="13.6"/>
    <n v="0"/>
    <n v="13.6"/>
    <n v="2"/>
  </r>
  <r>
    <x v="1026"/>
    <s v="Regular"/>
    <n v="100000026236"/>
    <x v="59"/>
    <n v="1"/>
    <n v="15"/>
    <n v="0"/>
    <n v="0"/>
    <n v="0"/>
    <n v="15"/>
    <n v="0"/>
    <n v="15"/>
    <n v="1"/>
  </r>
  <r>
    <x v="1027"/>
    <s v="Regular"/>
    <n v="100000007433"/>
    <x v="59"/>
    <n v="6"/>
    <n v="11.55"/>
    <n v="0"/>
    <n v="0"/>
    <n v="-0.06"/>
    <n v="11.49"/>
    <n v="0"/>
    <n v="11.49"/>
    <n v="1.51"/>
  </r>
  <r>
    <x v="1028"/>
    <s v="Regular"/>
    <n v="100000007457"/>
    <x v="59"/>
    <n v="6"/>
    <n v="18.920000000000002"/>
    <n v="0"/>
    <n v="0"/>
    <n v="-0.5"/>
    <n v="18.420000000000002"/>
    <n v="0"/>
    <n v="18.420000000000002"/>
    <n v="1.59"/>
  </r>
  <r>
    <x v="1029"/>
    <s v="Regular"/>
    <s v="J158788"/>
    <x v="59"/>
    <n v="3"/>
    <n v="9.91"/>
    <n v="0"/>
    <n v="0"/>
    <n v="-0.95"/>
    <n v="8.9600000000000009"/>
    <n v="0"/>
    <n v="8.9600000000000009"/>
    <n v="1.665"/>
  </r>
  <r>
    <x v="1030"/>
    <s v="Regular"/>
    <n v="100000010525"/>
    <x v="59"/>
    <n v="5"/>
    <n v="36.49"/>
    <n v="0"/>
    <n v="0"/>
    <n v="0"/>
    <n v="36.49"/>
    <n v="0"/>
    <n v="36.49"/>
    <n v="9"/>
  </r>
  <r>
    <x v="1031"/>
    <s v="Regular"/>
    <n v="100000010549"/>
    <x v="59"/>
    <n v="2"/>
    <n v="6.12"/>
    <n v="0"/>
    <n v="0"/>
    <n v="-0.51"/>
    <n v="5.61"/>
    <n v="0"/>
    <n v="5.61"/>
    <n v="1.57"/>
  </r>
  <r>
    <x v="1032"/>
    <s v="Regular"/>
    <n v="100000010587"/>
    <x v="59"/>
    <n v="2"/>
    <n v="9.5"/>
    <n v="0"/>
    <n v="0"/>
    <n v="0"/>
    <n v="9.5"/>
    <n v="0"/>
    <n v="9.5"/>
    <n v="2"/>
  </r>
  <r>
    <x v="1033"/>
    <s v="Regular"/>
    <s v="410638H"/>
    <x v="59"/>
    <n v="4"/>
    <n v="38"/>
    <n v="0"/>
    <n v="0"/>
    <n v="-0.24"/>
    <n v="37.76"/>
    <n v="0"/>
    <n v="37.76"/>
    <n v="4"/>
  </r>
  <r>
    <x v="1034"/>
    <s v="Regular"/>
    <n v="9651727"/>
    <x v="59"/>
    <n v="10"/>
    <n v="45.32"/>
    <n v="0"/>
    <n v="0"/>
    <n v="-1.52"/>
    <n v="43.8"/>
    <n v="0"/>
    <n v="43.8"/>
    <n v="5.33"/>
  </r>
  <r>
    <x v="1035"/>
    <s v="Regular"/>
    <n v="9360661000070"/>
    <x v="59"/>
    <n v="10"/>
    <n v="116.7"/>
    <n v="0"/>
    <n v="0"/>
    <n v="-5.51"/>
    <n v="111.19"/>
    <n v="0"/>
    <n v="111.19"/>
    <n v="10"/>
  </r>
  <r>
    <x v="1036"/>
    <s v="Regular"/>
    <s v="H870524"/>
    <x v="59"/>
    <n v="5"/>
    <n v="10.91"/>
    <n v="0"/>
    <n v="0"/>
    <n v="0"/>
    <n v="10.91"/>
    <n v="0"/>
    <n v="10.91"/>
    <n v="0.86199999999999999"/>
  </r>
  <r>
    <x v="1037"/>
    <s v="Regular"/>
    <n v="100000010945"/>
    <x v="59"/>
    <n v="3"/>
    <n v="6.54"/>
    <n v="0"/>
    <n v="0"/>
    <n v="-0.13"/>
    <n v="6.41"/>
    <n v="0"/>
    <n v="6.41"/>
    <n v="0.14799999999999999"/>
  </r>
  <r>
    <x v="1038"/>
    <s v="Regular"/>
    <n v="100000010983"/>
    <x v="59"/>
    <n v="8"/>
    <n v="31.9"/>
    <n v="0"/>
    <n v="0"/>
    <n v="-3.23"/>
    <n v="28.67"/>
    <n v="0"/>
    <n v="28.67"/>
    <n v="2.68"/>
  </r>
  <r>
    <x v="1039"/>
    <s v="Regular"/>
    <s v="V111576"/>
    <x v="60"/>
    <n v="10"/>
    <n v="163.49"/>
    <n v="0"/>
    <n v="0"/>
    <n v="0"/>
    <n v="163.49"/>
    <n v="16.510000000000002"/>
    <n v="180"/>
    <n v="10"/>
  </r>
  <r>
    <x v="1040"/>
    <s v="Regular"/>
    <s v="L327880"/>
    <x v="60"/>
    <n v="8"/>
    <n v="159.86000000000001"/>
    <n v="0"/>
    <n v="0"/>
    <n v="0"/>
    <n v="159.86000000000001"/>
    <n v="16.14"/>
    <n v="176"/>
    <n v="8"/>
  </r>
  <r>
    <x v="1041"/>
    <s v="Regular"/>
    <s v="N996078"/>
    <x v="60"/>
    <n v="7"/>
    <n v="114.59"/>
    <n v="0"/>
    <n v="0"/>
    <n v="-1.57"/>
    <n v="113.02"/>
    <n v="11.41"/>
    <n v="124.43"/>
    <n v="7"/>
  </r>
  <r>
    <x v="1042"/>
    <s v="Regular"/>
    <s v="D874920"/>
    <x v="60"/>
    <n v="11"/>
    <n v="115.15"/>
    <n v="0"/>
    <n v="0"/>
    <n v="-2.67"/>
    <n v="112.48"/>
    <n v="11.35"/>
    <n v="123.83"/>
    <n v="11"/>
  </r>
  <r>
    <x v="1043"/>
    <s v="Regular"/>
    <n v="4816986"/>
    <x v="60"/>
    <n v="16"/>
    <n v="219.56"/>
    <n v="0"/>
    <n v="0"/>
    <n v="-17.55"/>
    <n v="202.01"/>
    <n v="20.440000000000001"/>
    <n v="222.45"/>
    <n v="16"/>
  </r>
  <r>
    <x v="1044"/>
    <s v="Regular"/>
    <s v="771819R"/>
    <x v="60"/>
    <n v="12"/>
    <n v="101.26"/>
    <n v="0"/>
    <n v="0"/>
    <n v="-5"/>
    <n v="96.26"/>
    <n v="9.74"/>
    <n v="106"/>
    <n v="12"/>
  </r>
  <r>
    <x v="1045"/>
    <s v="Regular"/>
    <s v="R504605"/>
    <x v="60"/>
    <n v="10"/>
    <n v="113.51"/>
    <n v="0"/>
    <n v="0"/>
    <n v="0"/>
    <n v="113.51"/>
    <n v="11.49"/>
    <n v="125"/>
    <n v="10"/>
  </r>
  <r>
    <x v="1046"/>
    <s v="Regular"/>
    <n v="5814744"/>
    <x v="60"/>
    <n v="18"/>
    <n v="361.66"/>
    <n v="0"/>
    <n v="0"/>
    <n v="-21.98"/>
    <n v="339.68"/>
    <n v="34.340000000000003"/>
    <n v="374.02"/>
    <n v="18"/>
  </r>
  <r>
    <x v="1047"/>
    <s v="Regular"/>
    <s v="254695M"/>
    <x v="60"/>
    <n v="10"/>
    <n v="182.2"/>
    <n v="0"/>
    <n v="0"/>
    <n v="-6"/>
    <n v="176.2"/>
    <n v="17.8"/>
    <n v="194"/>
    <n v="10"/>
  </r>
  <r>
    <x v="1048"/>
    <s v="Regular"/>
    <s v="F446835"/>
    <x v="60"/>
    <n v="14"/>
    <n v="178.87"/>
    <n v="0"/>
    <n v="0"/>
    <n v="-9.8000000000000007"/>
    <n v="169.07"/>
    <n v="17.13"/>
    <n v="186.2"/>
    <n v="14"/>
  </r>
  <r>
    <x v="1049"/>
    <s v="Regular"/>
    <n v="7833773"/>
    <x v="60"/>
    <n v="32"/>
    <n v="528.25"/>
    <n v="0"/>
    <n v="0"/>
    <n v="-55.97"/>
    <n v="472.28"/>
    <n v="47.75"/>
    <n v="520.03"/>
    <n v="32"/>
  </r>
  <r>
    <x v="1050"/>
    <m/>
    <m/>
    <x v="61"/>
    <m/>
    <m/>
    <m/>
    <m/>
    <m/>
    <m/>
    <m/>
    <m/>
    <m/>
  </r>
  <r>
    <x v="1050"/>
    <m/>
    <m/>
    <x v="61"/>
    <m/>
    <m/>
    <m/>
    <m/>
    <m/>
    <m/>
    <m/>
    <m/>
    <m/>
  </r>
  <r>
    <x v="1050"/>
    <m/>
    <m/>
    <x v="61"/>
    <m/>
    <m/>
    <m/>
    <m/>
    <m/>
    <m/>
    <m/>
    <m/>
    <m/>
  </r>
  <r>
    <x v="1050"/>
    <m/>
    <m/>
    <x v="61"/>
    <m/>
    <m/>
    <m/>
    <m/>
    <m/>
    <m/>
    <m/>
    <m/>
    <m/>
  </r>
  <r>
    <x v="1050"/>
    <m/>
    <m/>
    <x v="61"/>
    <m/>
    <m/>
    <m/>
    <m/>
    <m/>
    <m/>
    <m/>
    <m/>
    <m/>
  </r>
  <r>
    <x v="1050"/>
    <m/>
    <m/>
    <x v="61"/>
    <m/>
    <m/>
    <m/>
    <m/>
    <m/>
    <m/>
    <m/>
    <m/>
    <m/>
  </r>
  <r>
    <x v="1050"/>
    <m/>
    <m/>
    <x v="61"/>
    <m/>
    <m/>
    <m/>
    <m/>
    <m/>
    <m/>
    <m/>
    <m/>
    <m/>
  </r>
  <r>
    <x v="1050"/>
    <m/>
    <m/>
    <x v="61"/>
    <m/>
    <m/>
    <m/>
    <m/>
    <m/>
    <m/>
    <m/>
    <m/>
    <m/>
  </r>
  <r>
    <x v="1050"/>
    <m/>
    <m/>
    <x v="61"/>
    <m/>
    <m/>
    <m/>
    <m/>
    <m/>
    <m/>
    <m/>
    <m/>
    <m/>
  </r>
  <r>
    <x v="1050"/>
    <m/>
    <m/>
    <x v="61"/>
    <m/>
    <m/>
    <m/>
    <m/>
    <m/>
    <m/>
    <m/>
    <m/>
    <m/>
  </r>
  <r>
    <x v="1050"/>
    <m/>
    <m/>
    <x v="61"/>
    <m/>
    <m/>
    <m/>
    <m/>
    <m/>
    <m/>
    <m/>
    <m/>
    <m/>
  </r>
  <r>
    <x v="1050"/>
    <m/>
    <m/>
    <x v="61"/>
    <m/>
    <m/>
    <m/>
    <m/>
    <m/>
    <m/>
    <m/>
    <m/>
    <m/>
  </r>
  <r>
    <x v="1050"/>
    <m/>
    <m/>
    <x v="61"/>
    <m/>
    <m/>
    <m/>
    <m/>
    <m/>
    <m/>
    <m/>
    <m/>
    <m/>
  </r>
  <r>
    <x v="1050"/>
    <m/>
    <m/>
    <x v="61"/>
    <m/>
    <m/>
    <m/>
    <m/>
    <m/>
    <m/>
    <m/>
    <m/>
    <m/>
  </r>
  <r>
    <x v="1050"/>
    <m/>
    <m/>
    <x v="61"/>
    <m/>
    <m/>
    <m/>
    <m/>
    <m/>
    <m/>
    <m/>
    <m/>
    <m/>
  </r>
  <r>
    <x v="1050"/>
    <m/>
    <m/>
    <x v="61"/>
    <m/>
    <m/>
    <m/>
    <m/>
    <m/>
    <m/>
    <m/>
    <m/>
    <m/>
  </r>
  <r>
    <x v="1050"/>
    <m/>
    <m/>
    <x v="61"/>
    <m/>
    <m/>
    <m/>
    <m/>
    <m/>
    <m/>
    <m/>
    <m/>
    <m/>
  </r>
  <r>
    <x v="1050"/>
    <m/>
    <m/>
    <x v="61"/>
    <m/>
    <m/>
    <m/>
    <m/>
    <m/>
    <m/>
    <m/>
    <m/>
    <m/>
  </r>
  <r>
    <x v="1050"/>
    <m/>
    <m/>
    <x v="61"/>
    <m/>
    <m/>
    <m/>
    <m/>
    <m/>
    <m/>
    <m/>
    <m/>
    <m/>
  </r>
  <r>
    <x v="1050"/>
    <m/>
    <m/>
    <x v="61"/>
    <m/>
    <m/>
    <m/>
    <m/>
    <m/>
    <m/>
    <m/>
    <m/>
    <m/>
  </r>
  <r>
    <x v="1050"/>
    <m/>
    <m/>
    <x v="61"/>
    <m/>
    <m/>
    <m/>
    <m/>
    <m/>
    <m/>
    <m/>
    <m/>
    <m/>
  </r>
  <r>
    <x v="1050"/>
    <m/>
    <m/>
    <x v="61"/>
    <m/>
    <m/>
    <m/>
    <m/>
    <m/>
    <m/>
    <m/>
    <m/>
    <m/>
  </r>
  <r>
    <x v="1050"/>
    <m/>
    <m/>
    <x v="61"/>
    <m/>
    <m/>
    <m/>
    <m/>
    <m/>
    <m/>
    <m/>
    <m/>
    <m/>
  </r>
  <r>
    <x v="1050"/>
    <m/>
    <m/>
    <x v="61"/>
    <m/>
    <m/>
    <m/>
    <m/>
    <m/>
    <m/>
    <m/>
    <m/>
    <m/>
  </r>
  <r>
    <x v="1050"/>
    <m/>
    <m/>
    <x v="61"/>
    <m/>
    <m/>
    <m/>
    <m/>
    <m/>
    <m/>
    <m/>
    <m/>
    <m/>
  </r>
  <r>
    <x v="1050"/>
    <m/>
    <m/>
    <x v="61"/>
    <m/>
    <m/>
    <m/>
    <m/>
    <m/>
    <m/>
    <m/>
    <m/>
    <m/>
  </r>
  <r>
    <x v="1050"/>
    <m/>
    <m/>
    <x v="61"/>
    <m/>
    <m/>
    <m/>
    <m/>
    <m/>
    <m/>
    <m/>
    <m/>
    <m/>
  </r>
  <r>
    <x v="1050"/>
    <m/>
    <m/>
    <x v="61"/>
    <m/>
    <m/>
    <m/>
    <m/>
    <m/>
    <m/>
    <m/>
    <m/>
    <m/>
  </r>
  <r>
    <x v="1050"/>
    <m/>
    <m/>
    <x v="61"/>
    <m/>
    <m/>
    <m/>
    <m/>
    <m/>
    <m/>
    <m/>
    <m/>
    <m/>
  </r>
  <r>
    <x v="1050"/>
    <m/>
    <m/>
    <x v="61"/>
    <m/>
    <m/>
    <m/>
    <m/>
    <m/>
    <m/>
    <m/>
    <m/>
    <m/>
  </r>
  <r>
    <x v="1050"/>
    <m/>
    <m/>
    <x v="61"/>
    <m/>
    <m/>
    <m/>
    <m/>
    <m/>
    <m/>
    <m/>
    <m/>
    <m/>
  </r>
  <r>
    <x v="1050"/>
    <m/>
    <m/>
    <x v="61"/>
    <m/>
    <m/>
    <m/>
    <m/>
    <m/>
    <m/>
    <m/>
    <m/>
    <m/>
  </r>
  <r>
    <x v="1050"/>
    <m/>
    <m/>
    <x v="61"/>
    <m/>
    <m/>
    <m/>
    <m/>
    <m/>
    <m/>
    <m/>
    <m/>
    <m/>
  </r>
  <r>
    <x v="1050"/>
    <m/>
    <m/>
    <x v="61"/>
    <m/>
    <m/>
    <m/>
    <m/>
    <m/>
    <m/>
    <m/>
    <m/>
    <m/>
  </r>
  <r>
    <x v="1050"/>
    <m/>
    <m/>
    <x v="61"/>
    <m/>
    <m/>
    <m/>
    <m/>
    <m/>
    <m/>
    <m/>
    <m/>
    <m/>
  </r>
  <r>
    <x v="1050"/>
    <m/>
    <m/>
    <x v="61"/>
    <m/>
    <m/>
    <m/>
    <m/>
    <m/>
    <m/>
    <m/>
    <m/>
    <m/>
  </r>
  <r>
    <x v="1050"/>
    <m/>
    <m/>
    <x v="61"/>
    <m/>
    <m/>
    <m/>
    <m/>
    <m/>
    <m/>
    <m/>
    <m/>
    <m/>
  </r>
  <r>
    <x v="1050"/>
    <m/>
    <m/>
    <x v="61"/>
    <m/>
    <m/>
    <m/>
    <m/>
    <m/>
    <m/>
    <m/>
    <m/>
    <m/>
  </r>
  <r>
    <x v="1050"/>
    <m/>
    <m/>
    <x v="61"/>
    <m/>
    <m/>
    <m/>
    <m/>
    <m/>
    <m/>
    <m/>
    <m/>
    <m/>
  </r>
  <r>
    <x v="1050"/>
    <m/>
    <m/>
    <x v="61"/>
    <m/>
    <m/>
    <m/>
    <m/>
    <m/>
    <m/>
    <m/>
    <m/>
    <m/>
  </r>
  <r>
    <x v="1050"/>
    <m/>
    <m/>
    <x v="61"/>
    <m/>
    <m/>
    <m/>
    <m/>
    <m/>
    <m/>
    <m/>
    <m/>
    <m/>
  </r>
  <r>
    <x v="1050"/>
    <m/>
    <m/>
    <x v="61"/>
    <m/>
    <m/>
    <m/>
    <m/>
    <m/>
    <m/>
    <m/>
    <m/>
    <m/>
  </r>
  <r>
    <x v="1050"/>
    <m/>
    <m/>
    <x v="61"/>
    <m/>
    <m/>
    <m/>
    <m/>
    <m/>
    <m/>
    <m/>
    <m/>
    <m/>
  </r>
  <r>
    <x v="1050"/>
    <m/>
    <m/>
    <x v="61"/>
    <m/>
    <m/>
    <m/>
    <m/>
    <m/>
    <m/>
    <m/>
    <m/>
    <m/>
  </r>
  <r>
    <x v="1050"/>
    <m/>
    <m/>
    <x v="61"/>
    <m/>
    <m/>
    <m/>
    <m/>
    <m/>
    <m/>
    <m/>
    <m/>
    <m/>
  </r>
  <r>
    <x v="1050"/>
    <m/>
    <m/>
    <x v="61"/>
    <m/>
    <m/>
    <m/>
    <m/>
    <m/>
    <m/>
    <m/>
    <m/>
    <m/>
  </r>
  <r>
    <x v="1050"/>
    <m/>
    <m/>
    <x v="61"/>
    <m/>
    <m/>
    <m/>
    <m/>
    <m/>
    <m/>
    <m/>
    <m/>
    <m/>
  </r>
  <r>
    <x v="1050"/>
    <m/>
    <m/>
    <x v="61"/>
    <m/>
    <m/>
    <m/>
    <m/>
    <m/>
    <m/>
    <m/>
    <m/>
    <m/>
  </r>
  <r>
    <x v="1050"/>
    <m/>
    <m/>
    <x v="61"/>
    <m/>
    <m/>
    <m/>
    <m/>
    <m/>
    <m/>
    <m/>
    <m/>
    <m/>
  </r>
  <r>
    <x v="1050"/>
    <m/>
    <m/>
    <x v="61"/>
    <m/>
    <m/>
    <m/>
    <m/>
    <m/>
    <m/>
    <m/>
    <m/>
    <m/>
  </r>
  <r>
    <x v="1050"/>
    <m/>
    <m/>
    <x v="61"/>
    <m/>
    <m/>
    <m/>
    <m/>
    <m/>
    <m/>
    <m/>
    <m/>
    <m/>
  </r>
  <r>
    <x v="1050"/>
    <m/>
    <m/>
    <x v="61"/>
    <m/>
    <m/>
    <m/>
    <m/>
    <m/>
    <m/>
    <m/>
    <m/>
    <m/>
  </r>
  <r>
    <x v="1050"/>
    <m/>
    <m/>
    <x v="61"/>
    <m/>
    <m/>
    <m/>
    <m/>
    <m/>
    <m/>
    <m/>
    <m/>
    <m/>
  </r>
  <r>
    <x v="1050"/>
    <m/>
    <m/>
    <x v="61"/>
    <m/>
    <m/>
    <m/>
    <m/>
    <m/>
    <m/>
    <m/>
    <m/>
    <m/>
  </r>
  <r>
    <x v="1050"/>
    <m/>
    <m/>
    <x v="61"/>
    <m/>
    <m/>
    <m/>
    <m/>
    <m/>
    <m/>
    <m/>
    <m/>
    <m/>
  </r>
  <r>
    <x v="1050"/>
    <m/>
    <m/>
    <x v="61"/>
    <m/>
    <m/>
    <m/>
    <m/>
    <m/>
    <m/>
    <m/>
    <m/>
    <m/>
  </r>
  <r>
    <x v="1050"/>
    <m/>
    <m/>
    <x v="61"/>
    <m/>
    <m/>
    <m/>
    <m/>
    <m/>
    <m/>
    <m/>
    <m/>
    <m/>
  </r>
  <r>
    <x v="1050"/>
    <m/>
    <m/>
    <x v="61"/>
    <m/>
    <m/>
    <m/>
    <m/>
    <m/>
    <m/>
    <m/>
    <m/>
    <m/>
  </r>
  <r>
    <x v="1050"/>
    <m/>
    <m/>
    <x v="61"/>
    <m/>
    <m/>
    <m/>
    <m/>
    <m/>
    <m/>
    <m/>
    <m/>
    <m/>
  </r>
  <r>
    <x v="1050"/>
    <m/>
    <m/>
    <x v="61"/>
    <m/>
    <m/>
    <m/>
    <m/>
    <m/>
    <m/>
    <m/>
    <m/>
    <m/>
  </r>
  <r>
    <x v="1050"/>
    <m/>
    <m/>
    <x v="61"/>
    <m/>
    <m/>
    <m/>
    <m/>
    <m/>
    <m/>
    <m/>
    <m/>
    <m/>
  </r>
  <r>
    <x v="1050"/>
    <m/>
    <m/>
    <x v="61"/>
    <m/>
    <m/>
    <m/>
    <m/>
    <m/>
    <m/>
    <m/>
    <m/>
    <m/>
  </r>
  <r>
    <x v="1050"/>
    <m/>
    <m/>
    <x v="61"/>
    <m/>
    <m/>
    <m/>
    <m/>
    <m/>
    <m/>
    <m/>
    <m/>
    <m/>
  </r>
  <r>
    <x v="1050"/>
    <m/>
    <m/>
    <x v="61"/>
    <m/>
    <m/>
    <m/>
    <m/>
    <m/>
    <m/>
    <m/>
    <m/>
    <m/>
  </r>
  <r>
    <x v="1050"/>
    <m/>
    <m/>
    <x v="61"/>
    <m/>
    <m/>
    <m/>
    <m/>
    <m/>
    <m/>
    <m/>
    <m/>
    <m/>
  </r>
  <r>
    <x v="1050"/>
    <m/>
    <m/>
    <x v="61"/>
    <m/>
    <m/>
    <m/>
    <m/>
    <m/>
    <m/>
    <m/>
    <m/>
    <m/>
  </r>
  <r>
    <x v="1050"/>
    <m/>
    <m/>
    <x v="61"/>
    <m/>
    <m/>
    <m/>
    <m/>
    <m/>
    <m/>
    <m/>
    <m/>
    <m/>
  </r>
  <r>
    <x v="1050"/>
    <m/>
    <m/>
    <x v="61"/>
    <m/>
    <m/>
    <m/>
    <m/>
    <m/>
    <m/>
    <m/>
    <m/>
    <m/>
  </r>
  <r>
    <x v="1050"/>
    <m/>
    <m/>
    <x v="61"/>
    <m/>
    <m/>
    <m/>
    <m/>
    <m/>
    <m/>
    <m/>
    <m/>
    <m/>
  </r>
  <r>
    <x v="1050"/>
    <m/>
    <m/>
    <x v="61"/>
    <m/>
    <m/>
    <m/>
    <m/>
    <m/>
    <m/>
    <m/>
    <m/>
    <m/>
  </r>
  <r>
    <x v="1050"/>
    <m/>
    <m/>
    <x v="61"/>
    <m/>
    <m/>
    <m/>
    <m/>
    <m/>
    <m/>
    <m/>
    <m/>
    <m/>
  </r>
  <r>
    <x v="1050"/>
    <m/>
    <m/>
    <x v="61"/>
    <m/>
    <m/>
    <m/>
    <m/>
    <m/>
    <m/>
    <m/>
    <m/>
    <m/>
  </r>
  <r>
    <x v="1050"/>
    <m/>
    <m/>
    <x v="61"/>
    <m/>
    <m/>
    <m/>
    <m/>
    <m/>
    <m/>
    <m/>
    <m/>
    <m/>
  </r>
  <r>
    <x v="1050"/>
    <m/>
    <m/>
    <x v="61"/>
    <m/>
    <m/>
    <m/>
    <m/>
    <m/>
    <m/>
    <m/>
    <m/>
    <m/>
  </r>
  <r>
    <x v="1050"/>
    <m/>
    <m/>
    <x v="61"/>
    <m/>
    <m/>
    <m/>
    <m/>
    <m/>
    <m/>
    <m/>
    <m/>
    <m/>
  </r>
  <r>
    <x v="1050"/>
    <m/>
    <m/>
    <x v="61"/>
    <m/>
    <m/>
    <m/>
    <m/>
    <m/>
    <m/>
    <m/>
    <m/>
    <m/>
  </r>
  <r>
    <x v="1050"/>
    <m/>
    <m/>
    <x v="61"/>
    <m/>
    <m/>
    <m/>
    <m/>
    <m/>
    <m/>
    <m/>
    <m/>
    <m/>
  </r>
  <r>
    <x v="1050"/>
    <m/>
    <m/>
    <x v="61"/>
    <m/>
    <m/>
    <m/>
    <m/>
    <m/>
    <m/>
    <m/>
    <m/>
    <m/>
  </r>
  <r>
    <x v="1050"/>
    <m/>
    <m/>
    <x v="61"/>
    <m/>
    <m/>
    <m/>
    <m/>
    <m/>
    <m/>
    <m/>
    <m/>
    <m/>
  </r>
  <r>
    <x v="1050"/>
    <m/>
    <m/>
    <x v="61"/>
    <m/>
    <m/>
    <m/>
    <m/>
    <m/>
    <m/>
    <m/>
    <m/>
    <m/>
  </r>
  <r>
    <x v="1050"/>
    <m/>
    <m/>
    <x v="61"/>
    <m/>
    <m/>
    <m/>
    <m/>
    <m/>
    <m/>
    <m/>
    <m/>
    <m/>
  </r>
  <r>
    <x v="1050"/>
    <m/>
    <m/>
    <x v="61"/>
    <m/>
    <m/>
    <m/>
    <m/>
    <m/>
    <m/>
    <m/>
    <m/>
    <m/>
  </r>
  <r>
    <x v="1050"/>
    <m/>
    <m/>
    <x v="61"/>
    <m/>
    <m/>
    <m/>
    <m/>
    <m/>
    <m/>
    <m/>
    <m/>
    <m/>
  </r>
  <r>
    <x v="1050"/>
    <m/>
    <m/>
    <x v="61"/>
    <m/>
    <m/>
    <m/>
    <m/>
    <m/>
    <m/>
    <m/>
    <m/>
    <m/>
  </r>
  <r>
    <x v="1050"/>
    <m/>
    <m/>
    <x v="61"/>
    <m/>
    <m/>
    <m/>
    <m/>
    <m/>
    <m/>
    <m/>
    <m/>
    <m/>
  </r>
  <r>
    <x v="1050"/>
    <m/>
    <m/>
    <x v="61"/>
    <m/>
    <m/>
    <m/>
    <m/>
    <m/>
    <m/>
    <m/>
    <m/>
    <m/>
  </r>
  <r>
    <x v="1050"/>
    <m/>
    <m/>
    <x v="61"/>
    <m/>
    <m/>
    <m/>
    <m/>
    <m/>
    <m/>
    <m/>
    <m/>
    <m/>
  </r>
  <r>
    <x v="1050"/>
    <m/>
    <m/>
    <x v="61"/>
    <m/>
    <m/>
    <m/>
    <m/>
    <m/>
    <m/>
    <m/>
    <m/>
    <m/>
  </r>
  <r>
    <x v="1050"/>
    <m/>
    <m/>
    <x v="61"/>
    <m/>
    <m/>
    <m/>
    <m/>
    <m/>
    <m/>
    <m/>
    <m/>
    <m/>
  </r>
  <r>
    <x v="1050"/>
    <m/>
    <m/>
    <x v="61"/>
    <m/>
    <m/>
    <m/>
    <m/>
    <m/>
    <m/>
    <m/>
    <m/>
    <m/>
  </r>
  <r>
    <x v="1050"/>
    <m/>
    <m/>
    <x v="61"/>
    <m/>
    <m/>
    <m/>
    <m/>
    <m/>
    <m/>
    <m/>
    <m/>
    <m/>
  </r>
  <r>
    <x v="1050"/>
    <m/>
    <m/>
    <x v="61"/>
    <m/>
    <m/>
    <m/>
    <m/>
    <m/>
    <m/>
    <m/>
    <m/>
    <m/>
  </r>
  <r>
    <x v="1050"/>
    <m/>
    <m/>
    <x v="61"/>
    <m/>
    <m/>
    <m/>
    <m/>
    <m/>
    <m/>
    <m/>
    <m/>
    <m/>
  </r>
  <r>
    <x v="1050"/>
    <m/>
    <m/>
    <x v="61"/>
    <m/>
    <m/>
    <m/>
    <m/>
    <m/>
    <m/>
    <m/>
    <m/>
    <m/>
  </r>
  <r>
    <x v="1050"/>
    <m/>
    <m/>
    <x v="61"/>
    <m/>
    <m/>
    <m/>
    <m/>
    <m/>
    <m/>
    <m/>
    <m/>
    <m/>
  </r>
  <r>
    <x v="1050"/>
    <m/>
    <m/>
    <x v="61"/>
    <m/>
    <m/>
    <m/>
    <m/>
    <m/>
    <m/>
    <m/>
    <m/>
    <m/>
  </r>
  <r>
    <x v="1050"/>
    <m/>
    <m/>
    <x v="61"/>
    <m/>
    <m/>
    <m/>
    <m/>
    <m/>
    <m/>
    <m/>
    <m/>
    <m/>
  </r>
  <r>
    <x v="1050"/>
    <m/>
    <m/>
    <x v="61"/>
    <m/>
    <m/>
    <m/>
    <m/>
    <m/>
    <m/>
    <m/>
    <m/>
    <m/>
  </r>
  <r>
    <x v="1050"/>
    <m/>
    <m/>
    <x v="61"/>
    <m/>
    <m/>
    <m/>
    <m/>
    <m/>
    <m/>
    <m/>
    <m/>
    <m/>
  </r>
  <r>
    <x v="1050"/>
    <m/>
    <m/>
    <x v="61"/>
    <m/>
    <m/>
    <m/>
    <m/>
    <m/>
    <m/>
    <m/>
    <m/>
    <m/>
  </r>
  <r>
    <x v="1050"/>
    <m/>
    <m/>
    <x v="61"/>
    <m/>
    <m/>
    <m/>
    <m/>
    <m/>
    <m/>
    <m/>
    <m/>
    <m/>
  </r>
  <r>
    <x v="1050"/>
    <m/>
    <m/>
    <x v="61"/>
    <m/>
    <m/>
    <m/>
    <m/>
    <m/>
    <m/>
    <m/>
    <m/>
    <m/>
  </r>
  <r>
    <x v="1050"/>
    <m/>
    <m/>
    <x v="61"/>
    <m/>
    <m/>
    <m/>
    <m/>
    <m/>
    <m/>
    <m/>
    <m/>
    <m/>
  </r>
  <r>
    <x v="1050"/>
    <m/>
    <m/>
    <x v="61"/>
    <m/>
    <m/>
    <m/>
    <m/>
    <m/>
    <m/>
    <m/>
    <m/>
    <m/>
  </r>
  <r>
    <x v="1050"/>
    <m/>
    <m/>
    <x v="61"/>
    <m/>
    <m/>
    <m/>
    <m/>
    <m/>
    <m/>
    <m/>
    <m/>
    <m/>
  </r>
  <r>
    <x v="1050"/>
    <m/>
    <m/>
    <x v="61"/>
    <m/>
    <m/>
    <m/>
    <m/>
    <m/>
    <m/>
    <m/>
    <m/>
    <m/>
  </r>
  <r>
    <x v="1050"/>
    <m/>
    <m/>
    <x v="61"/>
    <m/>
    <m/>
    <m/>
    <m/>
    <m/>
    <m/>
    <m/>
    <m/>
    <m/>
  </r>
  <r>
    <x v="1050"/>
    <m/>
    <m/>
    <x v="61"/>
    <m/>
    <m/>
    <m/>
    <m/>
    <m/>
    <m/>
    <m/>
    <m/>
    <m/>
  </r>
  <r>
    <x v="1050"/>
    <m/>
    <m/>
    <x v="61"/>
    <m/>
    <m/>
    <m/>
    <m/>
    <m/>
    <m/>
    <m/>
    <m/>
    <m/>
  </r>
  <r>
    <x v="1050"/>
    <m/>
    <m/>
    <x v="61"/>
    <m/>
    <m/>
    <m/>
    <m/>
    <m/>
    <m/>
    <m/>
    <m/>
    <m/>
  </r>
  <r>
    <x v="1050"/>
    <m/>
    <m/>
    <x v="61"/>
    <m/>
    <m/>
    <m/>
    <m/>
    <m/>
    <m/>
    <m/>
    <m/>
    <m/>
  </r>
  <r>
    <x v="1050"/>
    <m/>
    <m/>
    <x v="61"/>
    <m/>
    <m/>
    <m/>
    <m/>
    <m/>
    <m/>
    <m/>
    <m/>
    <m/>
  </r>
  <r>
    <x v="1050"/>
    <m/>
    <m/>
    <x v="61"/>
    <m/>
    <m/>
    <m/>
    <m/>
    <m/>
    <m/>
    <m/>
    <m/>
    <m/>
  </r>
  <r>
    <x v="1050"/>
    <m/>
    <m/>
    <x v="61"/>
    <m/>
    <m/>
    <m/>
    <m/>
    <m/>
    <m/>
    <m/>
    <m/>
    <m/>
  </r>
  <r>
    <x v="1050"/>
    <m/>
    <m/>
    <x v="61"/>
    <m/>
    <m/>
    <m/>
    <m/>
    <m/>
    <m/>
    <m/>
    <m/>
    <m/>
  </r>
  <r>
    <x v="1050"/>
    <m/>
    <m/>
    <x v="61"/>
    <m/>
    <m/>
    <m/>
    <m/>
    <m/>
    <m/>
    <m/>
    <m/>
    <m/>
  </r>
  <r>
    <x v="1050"/>
    <m/>
    <m/>
    <x v="61"/>
    <m/>
    <m/>
    <m/>
    <m/>
    <m/>
    <m/>
    <m/>
    <m/>
    <m/>
  </r>
  <r>
    <x v="1050"/>
    <m/>
    <m/>
    <x v="61"/>
    <m/>
    <m/>
    <m/>
    <m/>
    <m/>
    <m/>
    <m/>
    <m/>
    <m/>
  </r>
  <r>
    <x v="1050"/>
    <m/>
    <m/>
    <x v="61"/>
    <m/>
    <m/>
    <m/>
    <m/>
    <m/>
    <m/>
    <m/>
    <m/>
    <m/>
  </r>
  <r>
    <x v="1050"/>
    <m/>
    <m/>
    <x v="61"/>
    <m/>
    <m/>
    <m/>
    <m/>
    <m/>
    <m/>
    <m/>
    <m/>
    <m/>
  </r>
  <r>
    <x v="1050"/>
    <m/>
    <m/>
    <x v="61"/>
    <m/>
    <m/>
    <m/>
    <m/>
    <m/>
    <m/>
    <m/>
    <m/>
    <m/>
  </r>
  <r>
    <x v="1050"/>
    <m/>
    <m/>
    <x v="61"/>
    <m/>
    <m/>
    <m/>
    <m/>
    <m/>
    <m/>
    <m/>
    <m/>
    <m/>
  </r>
  <r>
    <x v="1050"/>
    <m/>
    <m/>
    <x v="61"/>
    <m/>
    <m/>
    <m/>
    <m/>
    <m/>
    <m/>
    <m/>
    <m/>
    <m/>
  </r>
  <r>
    <x v="1050"/>
    <m/>
    <m/>
    <x v="61"/>
    <m/>
    <m/>
    <m/>
    <m/>
    <m/>
    <m/>
    <m/>
    <m/>
    <m/>
  </r>
  <r>
    <x v="1050"/>
    <m/>
    <m/>
    <x v="61"/>
    <m/>
    <m/>
    <m/>
    <m/>
    <m/>
    <m/>
    <m/>
    <m/>
    <m/>
  </r>
  <r>
    <x v="1050"/>
    <m/>
    <m/>
    <x v="61"/>
    <m/>
    <m/>
    <m/>
    <m/>
    <m/>
    <m/>
    <m/>
    <m/>
    <m/>
  </r>
  <r>
    <x v="1050"/>
    <m/>
    <m/>
    <x v="61"/>
    <m/>
    <m/>
    <m/>
    <m/>
    <m/>
    <m/>
    <m/>
    <m/>
    <m/>
  </r>
  <r>
    <x v="1050"/>
    <m/>
    <m/>
    <x v="61"/>
    <m/>
    <m/>
    <m/>
    <m/>
    <m/>
    <m/>
    <m/>
    <m/>
    <m/>
  </r>
  <r>
    <x v="1050"/>
    <m/>
    <m/>
    <x v="61"/>
    <m/>
    <m/>
    <m/>
    <m/>
    <m/>
    <m/>
    <m/>
    <m/>
    <m/>
  </r>
  <r>
    <x v="1050"/>
    <m/>
    <m/>
    <x v="61"/>
    <m/>
    <m/>
    <m/>
    <m/>
    <m/>
    <m/>
    <m/>
    <m/>
    <m/>
  </r>
  <r>
    <x v="1050"/>
    <m/>
    <m/>
    <x v="61"/>
    <m/>
    <m/>
    <m/>
    <m/>
    <m/>
    <m/>
    <m/>
    <m/>
    <m/>
  </r>
  <r>
    <x v="1050"/>
    <m/>
    <m/>
    <x v="61"/>
    <m/>
    <m/>
    <m/>
    <m/>
    <m/>
    <m/>
    <m/>
    <m/>
    <m/>
  </r>
  <r>
    <x v="1050"/>
    <m/>
    <m/>
    <x v="61"/>
    <m/>
    <m/>
    <m/>
    <m/>
    <m/>
    <m/>
    <m/>
    <m/>
    <m/>
  </r>
  <r>
    <x v="1050"/>
    <m/>
    <m/>
    <x v="61"/>
    <m/>
    <m/>
    <m/>
    <m/>
    <m/>
    <m/>
    <m/>
    <m/>
    <m/>
  </r>
  <r>
    <x v="1050"/>
    <m/>
    <m/>
    <x v="61"/>
    <m/>
    <m/>
    <m/>
    <m/>
    <m/>
    <m/>
    <m/>
    <m/>
    <m/>
  </r>
  <r>
    <x v="1050"/>
    <m/>
    <m/>
    <x v="61"/>
    <m/>
    <m/>
    <m/>
    <m/>
    <m/>
    <m/>
    <m/>
    <m/>
    <m/>
  </r>
  <r>
    <x v="1050"/>
    <m/>
    <m/>
    <x v="61"/>
    <m/>
    <m/>
    <m/>
    <m/>
    <m/>
    <m/>
    <m/>
    <m/>
    <m/>
  </r>
  <r>
    <x v="1050"/>
    <m/>
    <m/>
    <x v="61"/>
    <m/>
    <m/>
    <m/>
    <m/>
    <m/>
    <m/>
    <m/>
    <m/>
    <m/>
  </r>
  <r>
    <x v="1050"/>
    <m/>
    <m/>
    <x v="61"/>
    <m/>
    <m/>
    <m/>
    <m/>
    <m/>
    <m/>
    <m/>
    <m/>
    <m/>
  </r>
  <r>
    <x v="1050"/>
    <m/>
    <m/>
    <x v="61"/>
    <m/>
    <m/>
    <m/>
    <m/>
    <m/>
    <m/>
    <m/>
    <m/>
    <m/>
  </r>
  <r>
    <x v="1050"/>
    <m/>
    <m/>
    <x v="61"/>
    <m/>
    <m/>
    <m/>
    <m/>
    <m/>
    <m/>
    <m/>
    <m/>
    <m/>
  </r>
  <r>
    <x v="1050"/>
    <m/>
    <m/>
    <x v="61"/>
    <m/>
    <m/>
    <m/>
    <m/>
    <m/>
    <m/>
    <m/>
    <m/>
    <m/>
  </r>
  <r>
    <x v="1050"/>
    <m/>
    <m/>
    <x v="61"/>
    <m/>
    <m/>
    <m/>
    <m/>
    <m/>
    <m/>
    <m/>
    <m/>
    <m/>
  </r>
  <r>
    <x v="1050"/>
    <m/>
    <m/>
    <x v="61"/>
    <m/>
    <m/>
    <m/>
    <m/>
    <m/>
    <m/>
    <m/>
    <m/>
    <m/>
  </r>
  <r>
    <x v="1050"/>
    <m/>
    <m/>
    <x v="61"/>
    <m/>
    <m/>
    <m/>
    <m/>
    <m/>
    <m/>
    <m/>
    <m/>
    <m/>
  </r>
  <r>
    <x v="1050"/>
    <m/>
    <m/>
    <x v="61"/>
    <m/>
    <m/>
    <m/>
    <m/>
    <m/>
    <m/>
    <m/>
    <m/>
    <m/>
  </r>
  <r>
    <x v="1050"/>
    <m/>
    <m/>
    <x v="61"/>
    <m/>
    <m/>
    <m/>
    <m/>
    <m/>
    <m/>
    <m/>
    <m/>
    <m/>
  </r>
  <r>
    <x v="1050"/>
    <m/>
    <m/>
    <x v="61"/>
    <m/>
    <m/>
    <m/>
    <m/>
    <m/>
    <m/>
    <m/>
    <m/>
    <m/>
  </r>
  <r>
    <x v="1050"/>
    <m/>
    <m/>
    <x v="61"/>
    <m/>
    <m/>
    <m/>
    <m/>
    <m/>
    <m/>
    <m/>
    <m/>
    <m/>
  </r>
  <r>
    <x v="1050"/>
    <m/>
    <m/>
    <x v="61"/>
    <m/>
    <m/>
    <m/>
    <m/>
    <m/>
    <m/>
    <m/>
    <m/>
    <m/>
  </r>
  <r>
    <x v="1050"/>
    <m/>
    <m/>
    <x v="61"/>
    <m/>
    <m/>
    <m/>
    <m/>
    <m/>
    <m/>
    <m/>
    <m/>
    <m/>
  </r>
  <r>
    <x v="1050"/>
    <m/>
    <m/>
    <x v="61"/>
    <m/>
    <m/>
    <m/>
    <m/>
    <m/>
    <m/>
    <m/>
    <m/>
    <m/>
  </r>
  <r>
    <x v="1050"/>
    <m/>
    <m/>
    <x v="61"/>
    <m/>
    <m/>
    <m/>
    <m/>
    <m/>
    <m/>
    <m/>
    <m/>
    <m/>
  </r>
  <r>
    <x v="1050"/>
    <m/>
    <m/>
    <x v="61"/>
    <m/>
    <m/>
    <m/>
    <m/>
    <m/>
    <m/>
    <m/>
    <m/>
    <m/>
  </r>
  <r>
    <x v="1050"/>
    <m/>
    <m/>
    <x v="61"/>
    <m/>
    <m/>
    <m/>
    <m/>
    <m/>
    <m/>
    <m/>
    <m/>
    <m/>
  </r>
  <r>
    <x v="1050"/>
    <m/>
    <m/>
    <x v="61"/>
    <m/>
    <m/>
    <m/>
    <m/>
    <m/>
    <m/>
    <m/>
    <m/>
    <m/>
  </r>
  <r>
    <x v="1050"/>
    <m/>
    <m/>
    <x v="61"/>
    <m/>
    <m/>
    <m/>
    <m/>
    <m/>
    <m/>
    <m/>
    <m/>
    <m/>
  </r>
  <r>
    <x v="1050"/>
    <m/>
    <m/>
    <x v="61"/>
    <m/>
    <m/>
    <m/>
    <m/>
    <m/>
    <m/>
    <m/>
    <m/>
    <m/>
  </r>
  <r>
    <x v="1050"/>
    <m/>
    <m/>
    <x v="61"/>
    <m/>
    <m/>
    <m/>
    <m/>
    <m/>
    <m/>
    <m/>
    <m/>
    <m/>
  </r>
  <r>
    <x v="1050"/>
    <m/>
    <m/>
    <x v="61"/>
    <m/>
    <m/>
    <m/>
    <m/>
    <m/>
    <m/>
    <m/>
    <m/>
    <m/>
  </r>
  <r>
    <x v="1050"/>
    <m/>
    <m/>
    <x v="61"/>
    <m/>
    <m/>
    <m/>
    <m/>
    <m/>
    <m/>
    <m/>
    <m/>
    <m/>
  </r>
  <r>
    <x v="1050"/>
    <m/>
    <m/>
    <x v="61"/>
    <m/>
    <m/>
    <m/>
    <m/>
    <m/>
    <m/>
    <m/>
    <m/>
    <m/>
  </r>
  <r>
    <x v="1050"/>
    <m/>
    <m/>
    <x v="61"/>
    <m/>
    <m/>
    <m/>
    <m/>
    <m/>
    <m/>
    <m/>
    <m/>
    <m/>
  </r>
  <r>
    <x v="1050"/>
    <m/>
    <m/>
    <x v="61"/>
    <m/>
    <m/>
    <m/>
    <m/>
    <m/>
    <m/>
    <m/>
    <m/>
    <m/>
  </r>
  <r>
    <x v="1050"/>
    <m/>
    <m/>
    <x v="61"/>
    <m/>
    <m/>
    <m/>
    <m/>
    <m/>
    <m/>
    <m/>
    <m/>
    <m/>
  </r>
  <r>
    <x v="1050"/>
    <m/>
    <m/>
    <x v="61"/>
    <m/>
    <m/>
    <m/>
    <m/>
    <m/>
    <m/>
    <m/>
    <m/>
    <m/>
  </r>
  <r>
    <x v="1050"/>
    <m/>
    <m/>
    <x v="61"/>
    <m/>
    <m/>
    <m/>
    <m/>
    <m/>
    <m/>
    <m/>
    <m/>
    <m/>
  </r>
  <r>
    <x v="1050"/>
    <m/>
    <m/>
    <x v="61"/>
    <m/>
    <m/>
    <m/>
    <m/>
    <m/>
    <m/>
    <m/>
    <m/>
    <m/>
  </r>
  <r>
    <x v="1050"/>
    <m/>
    <m/>
    <x v="61"/>
    <m/>
    <m/>
    <m/>
    <m/>
    <m/>
    <m/>
    <m/>
    <m/>
    <m/>
  </r>
  <r>
    <x v="1050"/>
    <m/>
    <m/>
    <x v="61"/>
    <m/>
    <m/>
    <m/>
    <m/>
    <m/>
    <m/>
    <m/>
    <m/>
    <m/>
  </r>
  <r>
    <x v="1050"/>
    <m/>
    <m/>
    <x v="61"/>
    <m/>
    <m/>
    <m/>
    <m/>
    <m/>
    <m/>
    <m/>
    <m/>
    <m/>
  </r>
  <r>
    <x v="1050"/>
    <m/>
    <m/>
    <x v="61"/>
    <m/>
    <m/>
    <m/>
    <m/>
    <m/>
    <m/>
    <m/>
    <m/>
    <m/>
  </r>
  <r>
    <x v="1050"/>
    <m/>
    <m/>
    <x v="61"/>
    <m/>
    <m/>
    <m/>
    <m/>
    <m/>
    <m/>
    <m/>
    <m/>
    <m/>
  </r>
  <r>
    <x v="1050"/>
    <m/>
    <m/>
    <x v="61"/>
    <m/>
    <m/>
    <m/>
    <m/>
    <m/>
    <m/>
    <m/>
    <m/>
    <m/>
  </r>
  <r>
    <x v="1050"/>
    <m/>
    <m/>
    <x v="61"/>
    <m/>
    <m/>
    <m/>
    <m/>
    <m/>
    <m/>
    <m/>
    <m/>
    <m/>
  </r>
  <r>
    <x v="1050"/>
    <m/>
    <m/>
    <x v="61"/>
    <m/>
    <m/>
    <m/>
    <m/>
    <m/>
    <m/>
    <m/>
    <m/>
    <m/>
  </r>
  <r>
    <x v="1050"/>
    <m/>
    <m/>
    <x v="61"/>
    <m/>
    <m/>
    <m/>
    <m/>
    <m/>
    <m/>
    <m/>
    <m/>
    <m/>
  </r>
  <r>
    <x v="1050"/>
    <m/>
    <m/>
    <x v="61"/>
    <m/>
    <m/>
    <m/>
    <m/>
    <m/>
    <m/>
    <m/>
    <m/>
    <m/>
  </r>
  <r>
    <x v="1050"/>
    <m/>
    <m/>
    <x v="61"/>
    <m/>
    <m/>
    <m/>
    <m/>
    <m/>
    <m/>
    <m/>
    <m/>
    <m/>
  </r>
  <r>
    <x v="1050"/>
    <m/>
    <m/>
    <x v="61"/>
    <m/>
    <m/>
    <m/>
    <m/>
    <m/>
    <m/>
    <m/>
    <m/>
    <m/>
  </r>
  <r>
    <x v="1050"/>
    <m/>
    <m/>
    <x v="61"/>
    <m/>
    <m/>
    <m/>
    <m/>
    <m/>
    <m/>
    <m/>
    <m/>
    <m/>
  </r>
  <r>
    <x v="1050"/>
    <m/>
    <m/>
    <x v="61"/>
    <m/>
    <m/>
    <m/>
    <m/>
    <m/>
    <m/>
    <m/>
    <m/>
    <m/>
  </r>
  <r>
    <x v="1050"/>
    <m/>
    <m/>
    <x v="61"/>
    <m/>
    <m/>
    <m/>
    <m/>
    <m/>
    <m/>
    <m/>
    <m/>
    <m/>
  </r>
  <r>
    <x v="1050"/>
    <m/>
    <m/>
    <x v="61"/>
    <m/>
    <m/>
    <m/>
    <m/>
    <m/>
    <m/>
    <m/>
    <m/>
    <m/>
  </r>
  <r>
    <x v="1050"/>
    <m/>
    <m/>
    <x v="61"/>
    <m/>
    <m/>
    <m/>
    <m/>
    <m/>
    <m/>
    <m/>
    <m/>
    <m/>
  </r>
  <r>
    <x v="1050"/>
    <m/>
    <m/>
    <x v="61"/>
    <m/>
    <m/>
    <m/>
    <m/>
    <m/>
    <m/>
    <m/>
    <m/>
    <m/>
  </r>
  <r>
    <x v="1050"/>
    <m/>
    <m/>
    <x v="61"/>
    <m/>
    <m/>
    <m/>
    <m/>
    <m/>
    <m/>
    <m/>
    <m/>
    <m/>
  </r>
  <r>
    <x v="1050"/>
    <m/>
    <m/>
    <x v="61"/>
    <m/>
    <m/>
    <m/>
    <m/>
    <m/>
    <m/>
    <m/>
    <m/>
    <m/>
  </r>
  <r>
    <x v="1050"/>
    <m/>
    <m/>
    <x v="61"/>
    <m/>
    <m/>
    <m/>
    <m/>
    <m/>
    <m/>
    <m/>
    <m/>
    <m/>
  </r>
  <r>
    <x v="1050"/>
    <m/>
    <m/>
    <x v="61"/>
    <m/>
    <m/>
    <m/>
    <m/>
    <m/>
    <m/>
    <m/>
    <m/>
    <m/>
  </r>
  <r>
    <x v="1050"/>
    <m/>
    <m/>
    <x v="61"/>
    <m/>
    <m/>
    <m/>
    <m/>
    <m/>
    <m/>
    <m/>
    <m/>
    <m/>
  </r>
  <r>
    <x v="1050"/>
    <m/>
    <m/>
    <x v="61"/>
    <m/>
    <m/>
    <m/>
    <m/>
    <m/>
    <m/>
    <m/>
    <m/>
    <m/>
  </r>
  <r>
    <x v="1050"/>
    <m/>
    <m/>
    <x v="61"/>
    <m/>
    <m/>
    <m/>
    <m/>
    <m/>
    <m/>
    <m/>
    <m/>
    <m/>
  </r>
  <r>
    <x v="1050"/>
    <m/>
    <m/>
    <x v="61"/>
    <m/>
    <m/>
    <m/>
    <m/>
    <m/>
    <m/>
    <m/>
    <m/>
    <m/>
  </r>
  <r>
    <x v="1050"/>
    <m/>
    <m/>
    <x v="61"/>
    <m/>
    <m/>
    <m/>
    <m/>
    <m/>
    <m/>
    <m/>
    <m/>
    <m/>
  </r>
  <r>
    <x v="1050"/>
    <m/>
    <m/>
    <x v="61"/>
    <m/>
    <m/>
    <m/>
    <m/>
    <m/>
    <m/>
    <m/>
    <m/>
    <m/>
  </r>
  <r>
    <x v="1050"/>
    <m/>
    <m/>
    <x v="61"/>
    <m/>
    <m/>
    <m/>
    <m/>
    <m/>
    <m/>
    <m/>
    <m/>
    <m/>
  </r>
  <r>
    <x v="1050"/>
    <m/>
    <m/>
    <x v="61"/>
    <m/>
    <m/>
    <m/>
    <m/>
    <m/>
    <m/>
    <m/>
    <m/>
    <m/>
  </r>
  <r>
    <x v="1050"/>
    <m/>
    <m/>
    <x v="61"/>
    <m/>
    <m/>
    <m/>
    <m/>
    <m/>
    <m/>
    <m/>
    <m/>
    <m/>
  </r>
  <r>
    <x v="1050"/>
    <m/>
    <m/>
    <x v="61"/>
    <m/>
    <m/>
    <m/>
    <m/>
    <m/>
    <m/>
    <m/>
    <m/>
    <m/>
  </r>
  <r>
    <x v="1050"/>
    <m/>
    <m/>
    <x v="61"/>
    <m/>
    <m/>
    <m/>
    <m/>
    <m/>
    <m/>
    <m/>
    <m/>
    <m/>
  </r>
  <r>
    <x v="1050"/>
    <m/>
    <m/>
    <x v="61"/>
    <m/>
    <m/>
    <m/>
    <m/>
    <m/>
    <m/>
    <m/>
    <m/>
    <m/>
  </r>
  <r>
    <x v="1050"/>
    <m/>
    <m/>
    <x v="61"/>
    <m/>
    <m/>
    <m/>
    <m/>
    <m/>
    <m/>
    <m/>
    <m/>
    <m/>
  </r>
  <r>
    <x v="1050"/>
    <m/>
    <m/>
    <x v="61"/>
    <m/>
    <m/>
    <m/>
    <m/>
    <m/>
    <m/>
    <m/>
    <m/>
    <m/>
  </r>
  <r>
    <x v="1050"/>
    <m/>
    <m/>
    <x v="61"/>
    <m/>
    <m/>
    <m/>
    <m/>
    <m/>
    <m/>
    <m/>
    <m/>
    <m/>
  </r>
  <r>
    <x v="1050"/>
    <m/>
    <m/>
    <x v="61"/>
    <m/>
    <m/>
    <m/>
    <m/>
    <m/>
    <m/>
    <m/>
    <m/>
    <m/>
  </r>
  <r>
    <x v="1050"/>
    <m/>
    <m/>
    <x v="61"/>
    <m/>
    <m/>
    <m/>
    <m/>
    <m/>
    <m/>
    <m/>
    <m/>
    <m/>
  </r>
  <r>
    <x v="1050"/>
    <m/>
    <m/>
    <x v="61"/>
    <m/>
    <m/>
    <m/>
    <m/>
    <m/>
    <m/>
    <m/>
    <m/>
    <m/>
  </r>
  <r>
    <x v="1050"/>
    <m/>
    <m/>
    <x v="61"/>
    <m/>
    <m/>
    <m/>
    <m/>
    <m/>
    <m/>
    <m/>
    <m/>
    <m/>
  </r>
  <r>
    <x v="1050"/>
    <m/>
    <m/>
    <x v="61"/>
    <m/>
    <m/>
    <m/>
    <m/>
    <m/>
    <m/>
    <m/>
    <m/>
    <m/>
  </r>
  <r>
    <x v="1050"/>
    <m/>
    <m/>
    <x v="61"/>
    <m/>
    <m/>
    <m/>
    <m/>
    <m/>
    <m/>
    <m/>
    <m/>
    <m/>
  </r>
  <r>
    <x v="1050"/>
    <m/>
    <m/>
    <x v="61"/>
    <m/>
    <m/>
    <m/>
    <m/>
    <m/>
    <m/>
    <m/>
    <m/>
    <m/>
  </r>
  <r>
    <x v="1050"/>
    <m/>
    <m/>
    <x v="61"/>
    <m/>
    <m/>
    <m/>
    <m/>
    <m/>
    <m/>
    <m/>
    <m/>
    <m/>
  </r>
  <r>
    <x v="1050"/>
    <m/>
    <m/>
    <x v="61"/>
    <m/>
    <m/>
    <m/>
    <m/>
    <m/>
    <m/>
    <m/>
    <m/>
    <m/>
  </r>
  <r>
    <x v="1050"/>
    <m/>
    <m/>
    <x v="61"/>
    <m/>
    <m/>
    <m/>
    <m/>
    <m/>
    <m/>
    <m/>
    <m/>
    <m/>
  </r>
  <r>
    <x v="1050"/>
    <m/>
    <m/>
    <x v="61"/>
    <m/>
    <m/>
    <m/>
    <m/>
    <m/>
    <m/>
    <m/>
    <m/>
    <m/>
  </r>
  <r>
    <x v="1050"/>
    <m/>
    <m/>
    <x v="61"/>
    <m/>
    <m/>
    <m/>
    <m/>
    <m/>
    <m/>
    <m/>
    <m/>
    <m/>
  </r>
  <r>
    <x v="1050"/>
    <m/>
    <m/>
    <x v="61"/>
    <m/>
    <m/>
    <m/>
    <m/>
    <m/>
    <m/>
    <m/>
    <m/>
    <m/>
  </r>
  <r>
    <x v="1050"/>
    <m/>
    <m/>
    <x v="61"/>
    <m/>
    <m/>
    <m/>
    <m/>
    <m/>
    <m/>
    <m/>
    <m/>
    <m/>
  </r>
  <r>
    <x v="1050"/>
    <m/>
    <m/>
    <x v="61"/>
    <m/>
    <m/>
    <m/>
    <m/>
    <m/>
    <m/>
    <m/>
    <m/>
    <m/>
  </r>
  <r>
    <x v="1050"/>
    <m/>
    <m/>
    <x v="61"/>
    <m/>
    <m/>
    <m/>
    <m/>
    <m/>
    <m/>
    <m/>
    <m/>
    <m/>
  </r>
  <r>
    <x v="1050"/>
    <m/>
    <m/>
    <x v="61"/>
    <m/>
    <m/>
    <m/>
    <m/>
    <m/>
    <m/>
    <m/>
    <m/>
    <m/>
  </r>
  <r>
    <x v="1050"/>
    <m/>
    <m/>
    <x v="61"/>
    <m/>
    <m/>
    <m/>
    <m/>
    <m/>
    <m/>
    <m/>
    <m/>
    <m/>
  </r>
  <r>
    <x v="1050"/>
    <m/>
    <m/>
    <x v="61"/>
    <m/>
    <m/>
    <m/>
    <m/>
    <m/>
    <m/>
    <m/>
    <m/>
    <m/>
  </r>
  <r>
    <x v="1050"/>
    <m/>
    <m/>
    <x v="61"/>
    <m/>
    <m/>
    <m/>
    <m/>
    <m/>
    <m/>
    <m/>
    <m/>
    <m/>
  </r>
  <r>
    <x v="1050"/>
    <m/>
    <m/>
    <x v="61"/>
    <m/>
    <m/>
    <m/>
    <m/>
    <m/>
    <m/>
    <m/>
    <m/>
    <m/>
  </r>
  <r>
    <x v="1050"/>
    <m/>
    <m/>
    <x v="61"/>
    <m/>
    <m/>
    <m/>
    <m/>
    <m/>
    <m/>
    <m/>
    <m/>
    <m/>
  </r>
  <r>
    <x v="1050"/>
    <m/>
    <m/>
    <x v="61"/>
    <m/>
    <m/>
    <m/>
    <m/>
    <m/>
    <m/>
    <m/>
    <m/>
    <m/>
  </r>
  <r>
    <x v="1050"/>
    <m/>
    <m/>
    <x v="61"/>
    <m/>
    <m/>
    <m/>
    <m/>
    <m/>
    <m/>
    <m/>
    <m/>
    <m/>
  </r>
  <r>
    <x v="1050"/>
    <m/>
    <m/>
    <x v="61"/>
    <m/>
    <m/>
    <m/>
    <m/>
    <m/>
    <m/>
    <m/>
    <m/>
    <m/>
  </r>
  <r>
    <x v="1050"/>
    <m/>
    <m/>
    <x v="61"/>
    <m/>
    <m/>
    <m/>
    <m/>
    <m/>
    <m/>
    <m/>
    <m/>
    <m/>
  </r>
  <r>
    <x v="1050"/>
    <m/>
    <m/>
    <x v="61"/>
    <m/>
    <m/>
    <m/>
    <m/>
    <m/>
    <m/>
    <m/>
    <m/>
    <m/>
  </r>
  <r>
    <x v="1050"/>
    <m/>
    <m/>
    <x v="61"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C1B26F6-3225-BE48-A0CF-55D820DCEBF2}" name="PivotTable6" cacheId="85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C59" firstHeaderRow="0" firstDataRow="1" firstDataCol="1"/>
  <pivotFields count="13">
    <pivotField showAll="0" sortType="descending"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showAll="0"/>
    <pivotField showAll="0"/>
    <pivotField axis="axisRow" multipleItemSelectionAllowed="1" showAll="0" sortType="descending">
      <items count="64">
        <item x="1"/>
        <item x="2"/>
        <item x="3"/>
        <item x="4"/>
        <item x="5"/>
        <item h="1"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5"/>
        <item x="36"/>
        <item x="38"/>
        <item x="39"/>
        <item x="40"/>
        <item x="41"/>
        <item x="42"/>
        <item x="43"/>
        <item x="44"/>
        <item x="46"/>
        <item x="47"/>
        <item x="48"/>
        <item x="49"/>
        <item h="1" x="50"/>
        <item h="1" x="51"/>
        <item x="52"/>
        <item x="53"/>
        <item x="54"/>
        <item h="1" x="55"/>
        <item x="56"/>
        <item x="57"/>
        <item x="0"/>
        <item x="58"/>
        <item x="59"/>
        <item h="1" x="60"/>
        <item x="34"/>
        <item x="45"/>
        <item h="1" x="61"/>
        <item h="1" m="1" x="62"/>
        <item h="1" x="37"/>
        <item t="default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dataField="1" showAll="0"/>
    <pivotField numFmtId="8" showAll="0"/>
    <pivotField showAll="0"/>
    <pivotField numFmtId="8" showAll="0"/>
    <pivotField numFmtId="8" showAll="0"/>
    <pivotField dataField="1" numFmtId="8" showAll="0"/>
    <pivotField numFmtId="8" showAll="0"/>
    <pivotField numFmtId="8" showAll="0"/>
    <pivotField showAll="0"/>
  </pivotFields>
  <rowFields count="1">
    <field x="3"/>
  </rowFields>
  <rowItems count="56">
    <i>
      <x v="50"/>
    </i>
    <i>
      <x v="9"/>
    </i>
    <i>
      <x v="18"/>
    </i>
    <i>
      <x v="41"/>
    </i>
    <i>
      <x v="16"/>
    </i>
    <i>
      <x v="1"/>
    </i>
    <i>
      <x v="14"/>
    </i>
    <i>
      <x v="44"/>
    </i>
    <i>
      <x v="20"/>
    </i>
    <i>
      <x v="25"/>
    </i>
    <i>
      <x v="21"/>
    </i>
    <i>
      <x v="36"/>
    </i>
    <i>
      <x v="33"/>
    </i>
    <i>
      <x v="55"/>
    </i>
    <i>
      <x v="49"/>
    </i>
    <i>
      <x v="56"/>
    </i>
    <i>
      <x v="19"/>
    </i>
    <i>
      <x v="52"/>
    </i>
    <i>
      <x v="15"/>
    </i>
    <i>
      <x v="27"/>
    </i>
    <i>
      <x v="6"/>
    </i>
    <i>
      <x v="2"/>
    </i>
    <i>
      <x v="40"/>
    </i>
    <i>
      <x v="8"/>
    </i>
    <i>
      <x v="17"/>
    </i>
    <i>
      <x v="3"/>
    </i>
    <i>
      <x v="35"/>
    </i>
    <i>
      <x v="37"/>
    </i>
    <i>
      <x v="26"/>
    </i>
    <i>
      <x/>
    </i>
    <i>
      <x v="13"/>
    </i>
    <i>
      <x v="58"/>
    </i>
    <i>
      <x v="22"/>
    </i>
    <i>
      <x v="30"/>
    </i>
    <i>
      <x v="53"/>
    </i>
    <i>
      <x v="42"/>
    </i>
    <i>
      <x v="29"/>
    </i>
    <i>
      <x v="43"/>
    </i>
    <i>
      <x v="28"/>
    </i>
    <i>
      <x v="31"/>
    </i>
    <i>
      <x v="10"/>
    </i>
    <i>
      <x v="11"/>
    </i>
    <i>
      <x v="45"/>
    </i>
    <i>
      <x v="34"/>
    </i>
    <i>
      <x v="48"/>
    </i>
    <i>
      <x v="39"/>
    </i>
    <i>
      <x v="23"/>
    </i>
    <i>
      <x v="54"/>
    </i>
    <i>
      <x v="59"/>
    </i>
    <i>
      <x v="32"/>
    </i>
    <i>
      <x v="12"/>
    </i>
    <i>
      <x v="4"/>
    </i>
    <i>
      <x v="38"/>
    </i>
    <i>
      <x v="7"/>
    </i>
    <i>
      <x v="24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Items Sold" fld="4" baseField="0" baseItem="0"/>
    <dataField name="Sum of Net Sales" fld="9" baseField="0" baseItem="0" numFmtId="164"/>
  </dataFields>
  <formats count="5">
    <format dxfId="4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2">
      <pivotArea collapsedLevelsAreSubtotals="1" fieldPosition="0">
        <references count="1">
          <reference field="3" count="0"/>
        </references>
      </pivotArea>
    </format>
    <format dxfId="1">
      <pivotArea dataOnly="0" labelOnly="1" fieldPosition="0">
        <references count="1">
          <reference field="3" count="50">
            <x v="0"/>
            <x v="1"/>
            <x v="2"/>
            <x v="3"/>
            <x v="4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9"/>
            <x v="40"/>
            <x v="41"/>
            <x v="42"/>
            <x v="43"/>
            <x v="44"/>
            <x v="45"/>
            <x v="49"/>
            <x v="50"/>
            <x v="52"/>
            <x v="53"/>
            <x v="54"/>
            <x v="55"/>
            <x v="56"/>
            <x v="58"/>
          </reference>
        </references>
      </pivotArea>
    </format>
    <format dxfId="0">
      <pivotArea dataOnly="0" labelOnly="1" fieldPosition="0">
        <references count="1">
          <reference field="3" count="5">
            <x v="23"/>
            <x v="24"/>
            <x v="38"/>
            <x v="48"/>
            <x v="59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F7E806-1688-D041-B5B9-E05DDBEF458D}" name="PivotTable7" cacheId="85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E3:G38" firstHeaderRow="0" firstDataRow="1" firstDataCol="1"/>
  <pivotFields count="13">
    <pivotField axis="axisRow" showAll="0" sortType="descending">
      <items count="2307">
        <item x="351"/>
        <item m="1" x="1450"/>
        <item x="136"/>
        <item x="141"/>
        <item x="142"/>
        <item x="526"/>
        <item x="478"/>
        <item m="1" x="2109"/>
        <item m="1" x="1155"/>
        <item x="556"/>
        <item x="557"/>
        <item x="558"/>
        <item x="1011"/>
        <item x="939"/>
        <item m="1" x="2242"/>
        <item x="559"/>
        <item x="143"/>
        <item x="144"/>
        <item m="1" x="1451"/>
        <item x="186"/>
        <item x="1012"/>
        <item x="355"/>
        <item m="1" x="1754"/>
        <item x="70"/>
        <item m="1" x="1955"/>
        <item x="754"/>
        <item x="422"/>
        <item x="358"/>
        <item x="55"/>
        <item x="481"/>
        <item x="483"/>
        <item m="1" x="1933"/>
        <item x="987"/>
        <item m="1" x="1183"/>
        <item x="361"/>
        <item x="362"/>
        <item x="988"/>
        <item x="120"/>
        <item x="1039"/>
        <item x="1040"/>
        <item x="1041"/>
        <item x="1043"/>
        <item m="1" x="2241"/>
        <item m="1" x="2175"/>
        <item x="1045"/>
        <item x="860"/>
        <item x="1013"/>
        <item m="1" x="1156"/>
        <item m="1" x="1475"/>
        <item x="484"/>
        <item x="485"/>
        <item m="1" x="1383"/>
        <item x="1046"/>
        <item x="1047"/>
        <item m="1" x="1228"/>
        <item x="1014"/>
        <item x="1015"/>
        <item m="1" x="2166"/>
        <item x="1018"/>
        <item x="1019"/>
        <item x="339"/>
        <item x="880"/>
        <item m="1" x="1402"/>
        <item m="1" x="1738"/>
        <item x="205"/>
        <item x="724"/>
        <item x="725"/>
        <item x="819"/>
        <item x="849"/>
        <item x="207"/>
        <item m="1" x="1634"/>
        <item x="428"/>
        <item x="429"/>
        <item x="432"/>
        <item x="433"/>
        <item x="434"/>
        <item x="435"/>
        <item x="940"/>
        <item m="1" x="1188"/>
        <item m="1" x="1489"/>
        <item x="85"/>
        <item x="831"/>
        <item x="832"/>
        <item x="833"/>
        <item x="522"/>
        <item x="995"/>
        <item x="23"/>
        <item x="1020"/>
        <item m="1" x="2049"/>
        <item m="1" x="1490"/>
        <item x="364"/>
        <item m="1" x="1135"/>
        <item x="121"/>
        <item m="1" x="1100"/>
        <item m="1" x="2025"/>
        <item m="1" x="1744"/>
        <item m="1" x="1452"/>
        <item x="837"/>
        <item x="527"/>
        <item m="1" x="1515"/>
        <item x="530"/>
        <item x="536"/>
        <item x="539"/>
        <item m="1" x="1401"/>
        <item m="1" x="1739"/>
        <item x="953"/>
        <item x="954"/>
        <item m="1" x="2304"/>
        <item x="838"/>
        <item x="417"/>
        <item x="632"/>
        <item x="648"/>
        <item x="649"/>
        <item m="1" x="1204"/>
        <item x="93"/>
        <item m="1" x="2018"/>
        <item x="94"/>
        <item m="1" x="1087"/>
        <item x="96"/>
        <item x="97"/>
        <item m="1" x="2019"/>
        <item m="1" x="1088"/>
        <item x="98"/>
        <item x="1021"/>
        <item x="766"/>
        <item x="26"/>
        <item x="27"/>
        <item x="1022"/>
        <item x="99"/>
        <item x="861"/>
        <item x="598"/>
        <item x="560"/>
        <item x="862"/>
        <item x="868"/>
        <item x="273"/>
        <item x="7"/>
        <item x="8"/>
        <item x="9"/>
        <item x="10"/>
        <item x="542"/>
        <item m="1" x="1210"/>
        <item x="294"/>
        <item x="371"/>
        <item m="1" x="1190"/>
        <item m="1" x="1491"/>
        <item m="1" x="1191"/>
        <item x="372"/>
        <item x="373"/>
        <item x="775"/>
        <item m="1" x="2042"/>
        <item m="1" x="2111"/>
        <item m="1" x="1360"/>
        <item m="1" x="1510"/>
        <item m="1" x="1530"/>
        <item m="1" x="1435"/>
        <item x="297"/>
        <item x="298"/>
        <item m="1" x="1084"/>
        <item x="302"/>
        <item m="1" x="1531"/>
        <item m="1" x="1827"/>
        <item m="1" x="2075"/>
        <item x="305"/>
        <item x="727"/>
        <item m="1" x="1292"/>
        <item x="86"/>
        <item x="374"/>
        <item m="1" x="1492"/>
        <item x="375"/>
        <item x="1024"/>
        <item x="729"/>
        <item x="29"/>
        <item x="30"/>
        <item x="126"/>
        <item x="127"/>
        <item x="562"/>
        <item m="1" x="2064"/>
        <item m="1" x="1480"/>
        <item m="1" x="1910"/>
        <item m="1" x="2028"/>
        <item x="158"/>
        <item x="159"/>
        <item x="160"/>
        <item x="163"/>
        <item m="1" x="1453"/>
        <item x="166"/>
        <item x="167"/>
        <item x="168"/>
        <item x="169"/>
        <item x="170"/>
        <item x="171"/>
        <item x="173"/>
        <item x="176"/>
        <item x="177"/>
        <item x="494"/>
        <item x="380"/>
        <item x="381"/>
        <item x="1000"/>
        <item m="1" x="1781"/>
        <item x="1002"/>
        <item m="1" x="1268"/>
        <item x="217"/>
        <item m="1" x="1194"/>
        <item x="234"/>
        <item x="383"/>
        <item x="384"/>
        <item x="236"/>
        <item x="238"/>
        <item x="239"/>
        <item m="1" x="2138"/>
        <item x="854"/>
        <item m="1" x="1681"/>
        <item m="1" x="1147"/>
        <item x="245"/>
        <item x="275"/>
        <item x="276"/>
        <item m="1" x="1064"/>
        <item x="35"/>
        <item m="1" x="1415"/>
        <item x="38"/>
        <item x="39"/>
        <item m="1" x="2012"/>
        <item x="40"/>
        <item x="41"/>
        <item x="42"/>
        <item x="913"/>
        <item x="915"/>
        <item m="1" x="1990"/>
        <item x="916"/>
        <item x="917"/>
        <item x="43"/>
        <item x="44"/>
        <item x="46"/>
        <item x="47"/>
        <item x="48"/>
        <item x="687"/>
        <item x="689"/>
        <item x="691"/>
        <item x="693"/>
        <item m="1" x="1273"/>
        <item m="1" x="2188"/>
        <item x="733"/>
        <item x="735"/>
        <item x="498"/>
        <item x="499"/>
        <item x="500"/>
        <item x="501"/>
        <item x="1006"/>
        <item x="1027"/>
        <item x="1028"/>
        <item x="1"/>
        <item x="564"/>
        <item x="328"/>
        <item x="968"/>
        <item m="1" x="1391"/>
        <item m="1" x="1392"/>
        <item x="181"/>
        <item x="249"/>
        <item x="89"/>
        <item x="524"/>
        <item x="864"/>
        <item x="566"/>
        <item x="1029"/>
        <item x="679"/>
        <item m="1" x="1102"/>
        <item m="1" x="1448"/>
        <item m="1" x="1449"/>
        <item x="865"/>
        <item x="1030"/>
        <item x="1031"/>
        <item m="1" x="1644"/>
        <item m="1" x="1716"/>
        <item x="1008"/>
        <item x="1009"/>
        <item x="278"/>
        <item m="1" x="2039"/>
        <item m="1" x="1344"/>
        <item x="255"/>
        <item x="256"/>
        <item x="258"/>
        <item m="1" x="1468"/>
        <item x="452"/>
        <item m="1" x="1206"/>
        <item x="545"/>
        <item x="546"/>
        <item x="397"/>
        <item m="1" x="2017"/>
        <item x="332"/>
        <item x="892"/>
        <item m="1" x="1566"/>
        <item x="872"/>
        <item x="874"/>
        <item x="520"/>
        <item x="866"/>
        <item x="941"/>
        <item x="1034"/>
        <item m="1" x="1470"/>
        <item x="264"/>
        <item x="90"/>
        <item x="107"/>
        <item x="108"/>
        <item x="279"/>
        <item x="280"/>
        <item x="409"/>
        <item x="1035"/>
        <item x="867"/>
        <item x="473"/>
        <item x="474"/>
        <item x="475"/>
        <item m="1" x="1209"/>
        <item x="931"/>
        <item x="933"/>
        <item m="1" x="2052"/>
        <item m="1" x="2196"/>
        <item x="476"/>
        <item x="477"/>
        <item m="1" x="1876"/>
        <item x="937"/>
        <item x="111"/>
        <item m="1" x="1352"/>
        <item x="1037"/>
        <item x="199"/>
        <item m="1" x="1082"/>
        <item x="81"/>
        <item x="113"/>
        <item m="1" x="1559"/>
        <item x="630"/>
        <item x="631"/>
        <item x="1048"/>
        <item x="1049"/>
        <item m="1" x="2195"/>
        <item x="336"/>
        <item x="116"/>
        <item x="1038"/>
        <item x="423"/>
        <item x="509"/>
        <item x="643"/>
        <item m="1" x="2277"/>
        <item m="1" x="1409"/>
        <item x="11"/>
        <item m="1" x="1054"/>
        <item m="1" x="2177"/>
        <item x="36"/>
        <item x="50"/>
        <item x="51"/>
        <item x="58"/>
        <item x="61"/>
        <item m="1" x="1075"/>
        <item x="71"/>
        <item m="1" x="1077"/>
        <item m="1" x="1428"/>
        <item m="1" x="2014"/>
        <item m="1" x="2247"/>
        <item x="79"/>
        <item x="80"/>
        <item m="1" x="1433"/>
        <item m="1" x="1901"/>
        <item x="95"/>
        <item x="109"/>
        <item m="1" x="2248"/>
        <item m="1" x="2249"/>
        <item x="122"/>
        <item m="1" x="1721"/>
        <item m="1" x="2185"/>
        <item m="1" x="1103"/>
        <item x="129"/>
        <item x="139"/>
        <item x="146"/>
        <item m="1" x="1107"/>
        <item m="1" x="1909"/>
        <item x="165"/>
        <item x="174"/>
        <item m="1" x="1726"/>
        <item m="1" x="2187"/>
        <item m="1" x="1728"/>
        <item m="1" x="1729"/>
        <item x="184"/>
        <item m="1" x="1114"/>
        <item x="196"/>
        <item x="197"/>
        <item x="200"/>
        <item m="1" x="1123"/>
        <item x="201"/>
        <item m="1" x="1125"/>
        <item m="1" x="2035"/>
        <item x="210"/>
        <item m="1" x="1138"/>
        <item m="1" x="1142"/>
        <item x="221"/>
        <item x="231"/>
        <item x="237"/>
        <item x="252"/>
        <item m="1" x="1152"/>
        <item x="272"/>
        <item x="283"/>
        <item m="1" x="1161"/>
        <item m="1" x="1162"/>
        <item m="1" x="1163"/>
        <item m="1" x="1749"/>
        <item x="322"/>
        <item m="1" x="2262"/>
        <item m="1" x="2048"/>
        <item m="1" x="1180"/>
        <item x="356"/>
        <item x="392"/>
        <item m="1" x="1496"/>
        <item m="1" x="1498"/>
        <item x="412"/>
        <item x="427"/>
        <item m="1" x="1500"/>
        <item m="1" x="1202"/>
        <item m="1" x="1203"/>
        <item x="450"/>
        <item x="451"/>
        <item x="506"/>
        <item m="1" x="1767"/>
        <item m="1" x="2061"/>
        <item m="1" x="1937"/>
        <item x="525"/>
        <item x="534"/>
        <item x="548"/>
        <item m="1" x="2266"/>
        <item x="549"/>
        <item m="1" x="1230"/>
        <item x="551"/>
        <item m="1" x="2148"/>
        <item x="579"/>
        <item m="1" x="1792"/>
        <item m="1" x="2271"/>
        <item x="599"/>
        <item m="1" x="1805"/>
        <item m="1" x="1807"/>
        <item x="626"/>
        <item x="665"/>
        <item m="1" x="2274"/>
        <item x="667"/>
        <item m="1" x="2276"/>
        <item m="1" x="2090"/>
        <item m="1" x="1281"/>
        <item x="710"/>
        <item x="718"/>
        <item m="1" x="1587"/>
        <item m="1" x="1288"/>
        <item m="1" x="1828"/>
        <item m="1" x="1829"/>
        <item x="734"/>
        <item m="1" x="1591"/>
        <item x="741"/>
        <item x="757"/>
        <item m="1" x="1611"/>
        <item x="784"/>
        <item m="1" x="2226"/>
        <item m="1" x="1969"/>
        <item m="1" x="1847"/>
        <item x="829"/>
        <item m="1" x="1342"/>
        <item m="1" x="1974"/>
        <item m="1" x="1349"/>
        <item x="873"/>
        <item x="890"/>
        <item m="1" x="1650"/>
        <item x="900"/>
        <item m="1" x="1867"/>
        <item m="1" x="1872"/>
        <item m="1" x="2303"/>
        <item x="936"/>
        <item x="945"/>
        <item m="1" x="1995"/>
        <item x="946"/>
        <item x="951"/>
        <item m="1" x="1388"/>
        <item m="1" x="1679"/>
        <item x="959"/>
        <item m="1" x="2124"/>
        <item m="1" x="2004"/>
        <item x="981"/>
        <item m="1" x="1404"/>
        <item m="1" x="1695"/>
        <item x="1050"/>
        <item x="17"/>
        <item m="1" x="1058"/>
        <item m="1" x="1063"/>
        <item m="1" x="1071"/>
        <item m="1" x="1422"/>
        <item x="67"/>
        <item m="1" x="2245"/>
        <item x="77"/>
        <item m="1" x="1429"/>
        <item m="1" x="1432"/>
        <item x="91"/>
        <item m="1" x="1090"/>
        <item x="106"/>
        <item m="1" x="1718"/>
        <item m="1" x="1907"/>
        <item x="128"/>
        <item m="1" x="2027"/>
        <item x="130"/>
        <item x="138"/>
        <item m="1" x="1111"/>
        <item m="1" x="2030"/>
        <item x="182"/>
        <item m="1" x="1113"/>
        <item m="1" x="2251"/>
        <item x="203"/>
        <item m="1" x="1129"/>
        <item m="1" x="1132"/>
        <item m="1" x="2036"/>
        <item x="212"/>
        <item m="1" x="1463"/>
        <item x="222"/>
        <item x="224"/>
        <item x="226"/>
        <item m="1" x="2255"/>
        <item x="229"/>
        <item x="230"/>
        <item m="1" x="2191"/>
        <item m="1" x="2040"/>
        <item m="1" x="1467"/>
        <item x="261"/>
        <item x="268"/>
        <item x="284"/>
        <item x="286"/>
        <item x="288"/>
        <item x="309"/>
        <item x="313"/>
        <item m="1" x="1481"/>
        <item x="318"/>
        <item m="1" x="2046"/>
        <item x="338"/>
        <item x="340"/>
        <item m="1" x="1753"/>
        <item x="346"/>
        <item x="357"/>
        <item x="359"/>
        <item x="360"/>
        <item m="1" x="1930"/>
        <item m="1" x="1189"/>
        <item m="1" x="1931"/>
        <item m="1" x="1193"/>
        <item x="376"/>
        <item x="382"/>
        <item x="415"/>
        <item m="1" x="1200"/>
        <item x="424"/>
        <item x="443"/>
        <item x="465"/>
        <item x="470"/>
        <item m="1" x="1764"/>
        <item x="486"/>
        <item x="492"/>
        <item m="1" x="1213"/>
        <item x="507"/>
        <item x="512"/>
        <item m="1" x="1508"/>
        <item m="1" x="1222"/>
        <item m="1" x="1780"/>
        <item m="1" x="2147"/>
        <item m="1" x="1521"/>
        <item m="1" x="2268"/>
        <item m="1" x="1786"/>
        <item x="592"/>
        <item m="1" x="2272"/>
        <item m="1" x="2203"/>
        <item x="600"/>
        <item m="1" x="1245"/>
        <item m="1" x="2078"/>
        <item m="1" x="2205"/>
        <item m="1" x="1560"/>
        <item m="1" x="1562"/>
        <item x="645"/>
        <item x="671"/>
        <item x="683"/>
        <item x="690"/>
        <item x="696"/>
        <item m="1" x="1575"/>
        <item m="1" x="1953"/>
        <item x="705"/>
        <item x="711"/>
        <item x="720"/>
        <item x="722"/>
        <item m="1" x="2278"/>
        <item m="1" x="1313"/>
        <item x="778"/>
        <item m="1" x="2283"/>
        <item m="1" x="2284"/>
        <item x="780"/>
        <item m="1" x="2288"/>
        <item m="1" x="1840"/>
        <item x="795"/>
        <item m="1" x="2289"/>
        <item m="1" x="1966"/>
        <item m="1" x="1845"/>
        <item x="817"/>
        <item m="1" x="1852"/>
        <item m="1" x="2293"/>
        <item x="842"/>
        <item x="844"/>
        <item m="1" x="1343"/>
        <item x="850"/>
        <item x="855"/>
        <item m="1" x="2234"/>
        <item m="1" x="2299"/>
        <item m="1" x="1864"/>
        <item m="1" x="1871"/>
        <item x="918"/>
        <item x="927"/>
        <item x="932"/>
        <item x="958"/>
        <item m="1" x="1996"/>
        <item m="1" x="1997"/>
        <item x="960"/>
        <item x="966"/>
        <item m="1" x="1400"/>
        <item m="1" x="1690"/>
        <item m="1" x="1403"/>
        <item m="1" x="1406"/>
        <item x="1036"/>
        <item x="0"/>
        <item x="2"/>
        <item m="1" x="2010"/>
        <item m="1" x="2176"/>
        <item x="5"/>
        <item m="1" x="1700"/>
        <item x="16"/>
        <item m="1" x="1896"/>
        <item m="1" x="2011"/>
        <item m="1" x="2243"/>
        <item m="1" x="1425"/>
        <item m="1" x="1713"/>
        <item x="73"/>
        <item x="74"/>
        <item m="1" x="2020"/>
        <item m="1" x="1440"/>
        <item m="1" x="1442"/>
        <item x="114"/>
        <item x="118"/>
        <item m="1" x="1446"/>
        <item x="124"/>
        <item m="1" x="1722"/>
        <item x="131"/>
        <item x="132"/>
        <item m="1" x="2029"/>
        <item m="1" x="1110"/>
        <item m="1" x="1730"/>
        <item x="180"/>
        <item m="1" x="2031"/>
        <item m="1" x="1731"/>
        <item m="1" x="2252"/>
        <item m="1" x="1460"/>
        <item m="1" x="1128"/>
        <item x="232"/>
        <item x="262"/>
        <item x="270"/>
        <item m="1" x="1165"/>
        <item m="1" x="1923"/>
        <item m="1" x="1483"/>
        <item m="1" x="2047"/>
        <item m="1" x="2261"/>
        <item x="352"/>
        <item m="1" x="1181"/>
        <item x="394"/>
        <item x="396"/>
        <item x="416"/>
        <item x="418"/>
        <item x="445"/>
        <item x="456"/>
        <item x="469"/>
        <item x="482"/>
        <item x="488"/>
        <item x="489"/>
        <item x="490"/>
        <item x="503"/>
        <item m="1" x="2263"/>
        <item m="1" x="1217"/>
        <item x="523"/>
        <item x="540"/>
        <item m="1" x="2267"/>
        <item x="567"/>
        <item m="1" x="1784"/>
        <item m="1" x="2269"/>
        <item x="578"/>
        <item x="582"/>
        <item x="583"/>
        <item x="584"/>
        <item x="617"/>
        <item x="646"/>
        <item x="654"/>
        <item m="1" x="2211"/>
        <item m="1" x="1573"/>
        <item x="704"/>
        <item m="1" x="1279"/>
        <item x="707"/>
        <item m="1" x="2215"/>
        <item x="709"/>
        <item x="712"/>
        <item m="1" x="1290"/>
        <item m="1" x="1296"/>
        <item m="1" x="1297"/>
        <item x="736"/>
        <item x="742"/>
        <item m="1" x="2220"/>
        <item x="777"/>
        <item x="789"/>
        <item m="1" x="1324"/>
        <item x="821"/>
        <item m="1" x="2165"/>
        <item m="1" x="2294"/>
        <item m="1" x="1638"/>
        <item m="1" x="1855"/>
        <item m="1" x="1345"/>
        <item m="1" x="1346"/>
        <item m="1" x="1863"/>
        <item m="1" x="2113"/>
        <item m="1" x="2170"/>
        <item m="1" x="1373"/>
        <item x="919"/>
        <item m="1" x="1991"/>
        <item x="934"/>
        <item m="1" x="1993"/>
        <item m="1" x="1676"/>
        <item x="964"/>
        <item x="970"/>
        <item x="971"/>
        <item x="972"/>
        <item m="1" x="1395"/>
        <item m="1" x="1399"/>
        <item m="1" x="1688"/>
        <item x="1016"/>
        <item m="1" x="1052"/>
        <item x="3"/>
        <item m="1" x="1410"/>
        <item m="1" x="1699"/>
        <item x="13"/>
        <item m="1" x="1057"/>
        <item x="37"/>
        <item m="1" x="1420"/>
        <item x="57"/>
        <item m="1" x="1709"/>
        <item m="1" x="1427"/>
        <item m="1" x="1434"/>
        <item x="100"/>
        <item x="101"/>
        <item m="1" x="1720"/>
        <item m="1" x="1905"/>
        <item m="1" x="2022"/>
        <item m="1" x="2023"/>
        <item x="125"/>
        <item m="1" x="1105"/>
        <item x="134"/>
        <item x="135"/>
        <item x="145"/>
        <item m="1" x="1908"/>
        <item x="162"/>
        <item m="1" x="1911"/>
        <item m="1" x="2186"/>
        <item m="1" x="1727"/>
        <item m="1" x="1119"/>
        <item m="1" x="2253"/>
        <item x="209"/>
        <item m="1" x="1137"/>
        <item x="215"/>
        <item m="1" x="2256"/>
        <item m="1" x="1146"/>
        <item m="1" x="1151"/>
        <item m="1" x="2041"/>
        <item m="1" x="2257"/>
        <item m="1" x="2143"/>
        <item x="306"/>
        <item m="1" x="1166"/>
        <item x="315"/>
        <item x="316"/>
        <item m="1" x="2193"/>
        <item x="342"/>
        <item x="343"/>
        <item x="344"/>
        <item x="354"/>
        <item m="1" x="1927"/>
        <item m="1" x="1928"/>
        <item x="387"/>
        <item x="388"/>
        <item x="389"/>
        <item m="1" x="2051"/>
        <item x="463"/>
        <item x="471"/>
        <item x="493"/>
        <item x="505"/>
        <item m="1" x="1766"/>
        <item x="508"/>
        <item x="538"/>
        <item x="561"/>
        <item m="1" x="2286"/>
        <item m="1" x="1787"/>
        <item m="1" x="2270"/>
        <item m="1" x="1790"/>
        <item m="1" x="2074"/>
        <item x="603"/>
        <item m="1" x="2273"/>
        <item m="1" x="1276"/>
        <item m="1" x="2087"/>
        <item m="1" x="2088"/>
        <item m="1" x="1278"/>
        <item m="1" x="1580"/>
        <item m="1" x="1584"/>
        <item m="1" x="1291"/>
        <item m="1" x="1957"/>
        <item m="1" x="2162"/>
        <item m="1" x="1326"/>
        <item m="1" x="2228"/>
        <item m="1" x="1327"/>
        <item m="1" x="1330"/>
        <item x="822"/>
        <item x="839"/>
        <item m="1" x="2295"/>
        <item x="848"/>
        <item m="1" x="1640"/>
        <item m="1" x="1977"/>
        <item x="856"/>
        <item x="863"/>
        <item m="1" x="1645"/>
        <item m="1" x="1646"/>
        <item x="879"/>
        <item m="1" x="2296"/>
        <item x="888"/>
        <item m="1" x="1862"/>
        <item m="1" x="2112"/>
        <item m="1" x="2297"/>
        <item x="901"/>
        <item m="1" x="2129"/>
        <item x="991"/>
        <item x="992"/>
        <item m="1" x="2305"/>
        <item m="1" x="2005"/>
        <item x="1010"/>
        <item x="4"/>
        <item m="1" x="1412"/>
        <item x="34"/>
        <item m="1" x="2244"/>
        <item m="1" x="1073"/>
        <item m="1" x="1712"/>
        <item m="1" x="2246"/>
        <item x="82"/>
        <item m="1" x="1902"/>
        <item x="105"/>
        <item m="1" x="1095"/>
        <item m="1" x="2139"/>
        <item m="1" x="1098"/>
        <item m="1" x="1106"/>
        <item m="1" x="2189"/>
        <item m="1" x="2141"/>
        <item m="1" x="2250"/>
        <item m="1" x="1459"/>
        <item m="1" x="2142"/>
        <item m="1" x="2254"/>
        <item x="218"/>
        <item m="1" x="2037"/>
        <item m="1" x="1464"/>
        <item m="1" x="1471"/>
        <item x="263"/>
        <item m="1" x="1472"/>
        <item m="1" x="1157"/>
        <item m="1" x="1158"/>
        <item m="1" x="2258"/>
        <item x="319"/>
        <item x="321"/>
        <item m="1" x="2194"/>
        <item m="1" x="2259"/>
        <item x="333"/>
        <item m="1" x="2260"/>
        <item x="341"/>
        <item m="1" x="1185"/>
        <item m="1" x="1186"/>
        <item x="378"/>
        <item m="1" x="1198"/>
        <item x="399"/>
        <item x="421"/>
        <item m="1" x="1499"/>
        <item x="458"/>
        <item x="461"/>
        <item x="466"/>
        <item x="472"/>
        <item x="480"/>
        <item x="491"/>
        <item x="502"/>
        <item m="1" x="1215"/>
        <item m="1" x="2057"/>
        <item x="515"/>
        <item m="1" x="1769"/>
        <item m="1" x="1772"/>
        <item m="1" x="2264"/>
        <item m="1" x="2265"/>
        <item m="1" x="1782"/>
        <item x="572"/>
        <item x="575"/>
        <item x="580"/>
        <item m="1" x="2070"/>
        <item m="1" x="2150"/>
        <item x="597"/>
        <item m="1" x="1795"/>
        <item m="1" x="2076"/>
        <item m="1" x="1796"/>
        <item x="614"/>
        <item x="615"/>
        <item m="1" x="1547"/>
        <item m="1" x="1250"/>
        <item m="1" x="1252"/>
        <item m="1" x="2153"/>
        <item m="1" x="1254"/>
        <item m="1" x="1554"/>
        <item m="1" x="1258"/>
        <item m="1" x="1557"/>
        <item x="634"/>
        <item x="644"/>
        <item m="1" x="2208"/>
        <item m="1" x="2210"/>
        <item m="1" x="2275"/>
        <item m="1" x="1815"/>
        <item m="1" x="1952"/>
        <item x="715"/>
        <item m="1" x="1585"/>
        <item x="721"/>
        <item x="726"/>
        <item x="731"/>
        <item m="1" x="1592"/>
        <item x="743"/>
        <item m="1" x="2161"/>
        <item m="1" x="2279"/>
        <item m="1" x="2280"/>
        <item m="1" x="1598"/>
        <item m="1" x="2094"/>
        <item x="756"/>
        <item m="1" x="2281"/>
        <item m="1" x="1959"/>
        <item m="1" x="1602"/>
        <item m="1" x="1835"/>
        <item m="1" x="2282"/>
        <item m="1" x="1606"/>
        <item m="1" x="1837"/>
        <item m="1" x="1309"/>
        <item m="1" x="1311"/>
        <item x="769"/>
        <item m="1" x="2224"/>
        <item x="771"/>
        <item m="1" x="1614"/>
        <item m="1" x="2285"/>
        <item x="785"/>
        <item m="1" x="2287"/>
        <item m="1" x="2104"/>
        <item m="1" x="1320"/>
        <item x="788"/>
        <item m="1" x="1627"/>
        <item m="1" x="2290"/>
        <item m="1" x="1628"/>
        <item m="1" x="2105"/>
        <item m="1" x="2164"/>
        <item m="1" x="1842"/>
        <item x="806"/>
        <item m="1" x="2291"/>
        <item m="1" x="2108"/>
        <item m="1" x="1848"/>
        <item m="1" x="2292"/>
        <item x="820"/>
        <item x="871"/>
        <item m="1" x="1647"/>
        <item m="1" x="1648"/>
        <item m="1" x="1980"/>
        <item m="1" x="1361"/>
        <item m="1" x="2298"/>
        <item x="898"/>
        <item m="1" x="2300"/>
        <item x="899"/>
        <item m="1" x="2301"/>
        <item m="1" x="1659"/>
        <item m="1" x="1866"/>
        <item m="1" x="2302"/>
        <item m="1" x="2115"/>
        <item m="1" x="1376"/>
        <item m="1" x="1381"/>
        <item m="1" x="1881"/>
        <item m="1" x="1678"/>
        <item m="1" x="1999"/>
        <item m="1" x="2000"/>
        <item m="1" x="2125"/>
        <item m="1" x="2003"/>
        <item x="975"/>
        <item m="1" x="1888"/>
        <item x="979"/>
        <item x="990"/>
        <item x="997"/>
        <item x="1001"/>
        <item m="1" x="2131"/>
        <item x="1005"/>
        <item m="1" x="1407"/>
        <item x="6"/>
        <item x="45"/>
        <item m="1" x="1066"/>
        <item x="68"/>
        <item m="1" x="2136"/>
        <item m="1" x="1430"/>
        <item m="1" x="2137"/>
        <item m="1" x="1436"/>
        <item x="102"/>
        <item m="1" x="1717"/>
        <item m="1" x="1719"/>
        <item m="1" x="1906"/>
        <item x="119"/>
        <item m="1" x="1447"/>
        <item m="1" x="2026"/>
        <item m="1" x="1724"/>
        <item x="147"/>
        <item x="148"/>
        <item x="178"/>
        <item x="183"/>
        <item x="187"/>
        <item m="1" x="1115"/>
        <item m="1" x="1116"/>
        <item m="1" x="2140"/>
        <item m="1" x="1121"/>
        <item x="198"/>
        <item x="223"/>
        <item x="227"/>
        <item x="228"/>
        <item m="1" x="1918"/>
        <item x="246"/>
        <item x="257"/>
        <item m="1" x="1154"/>
        <item x="285"/>
        <item x="293"/>
        <item m="1" x="1477"/>
        <item m="1" x="1921"/>
        <item m="1" x="1164"/>
        <item m="1" x="1168"/>
        <item m="1" x="1171"/>
        <item m="1" x="2045"/>
        <item x="334"/>
        <item m="1" x="1484"/>
        <item m="1" x="2144"/>
        <item x="377"/>
        <item x="407"/>
        <item x="411"/>
        <item x="426"/>
        <item x="430"/>
        <item x="438"/>
        <item x="441"/>
        <item x="442"/>
        <item m="1" x="1501"/>
        <item m="1" x="1761"/>
        <item m="1" x="2055"/>
        <item m="1" x="1212"/>
        <item m="1" x="1504"/>
        <item m="1" x="2145"/>
        <item x="504"/>
        <item m="1" x="2058"/>
        <item m="1" x="2146"/>
        <item m="1" x="2059"/>
        <item m="1" x="1775"/>
        <item m="1" x="1514"/>
        <item m="1" x="1229"/>
        <item x="554"/>
        <item x="555"/>
        <item m="1" x="1783"/>
        <item m="1" x="2149"/>
        <item m="1" x="1532"/>
        <item m="1" x="2068"/>
        <item m="1" x="2069"/>
        <item m="1" x="1534"/>
        <item x="602"/>
        <item m="1" x="2151"/>
        <item m="1" x="1944"/>
        <item x="608"/>
        <item m="1" x="1541"/>
        <item m="1" x="2152"/>
        <item m="1" x="2154"/>
        <item m="1" x="2155"/>
        <item m="1" x="1809"/>
        <item m="1" x="1563"/>
        <item m="1" x="1564"/>
        <item m="1" x="2156"/>
        <item x="668"/>
        <item x="670"/>
        <item x="677"/>
        <item x="702"/>
        <item m="1" x="1821"/>
        <item m="1" x="2157"/>
        <item m="1" x="1577"/>
        <item m="1" x="2158"/>
        <item m="1" x="2091"/>
        <item m="1" x="1581"/>
        <item m="1" x="1583"/>
        <item x="713"/>
        <item x="719"/>
        <item m="1" x="1287"/>
        <item m="1" x="1293"/>
        <item x="732"/>
        <item m="1" x="2159"/>
        <item m="1" x="1298"/>
        <item m="1" x="1594"/>
        <item m="1" x="2160"/>
        <item m="1" x="1301"/>
        <item m="1" x="1961"/>
        <item m="1" x="1609"/>
        <item m="1" x="2097"/>
        <item m="1" x="2098"/>
        <item m="1" x="2099"/>
        <item x="776"/>
        <item m="1" x="2163"/>
        <item m="1" x="1624"/>
        <item m="1" x="1332"/>
        <item x="816"/>
        <item m="1" x="1846"/>
        <item m="1" x="1339"/>
        <item m="1" x="1853"/>
        <item x="830"/>
        <item x="845"/>
        <item x="851"/>
        <item m="1" x="1856"/>
        <item m="1" x="2167"/>
        <item m="1" x="2168"/>
        <item m="1" x="1652"/>
        <item x="893"/>
        <item x="894"/>
        <item m="1" x="1982"/>
        <item m="1" x="2169"/>
        <item m="1" x="2171"/>
        <item m="1" x="1657"/>
        <item m="1" x="1658"/>
        <item m="1" x="2172"/>
        <item m="1" x="1660"/>
        <item m="1" x="2114"/>
        <item m="1" x="1367"/>
        <item m="1" x="1670"/>
        <item m="1" x="1379"/>
        <item m="1" x="1672"/>
        <item m="1" x="1387"/>
        <item x="962"/>
        <item m="1" x="1683"/>
        <item m="1" x="2122"/>
        <item m="1" x="2173"/>
        <item m="1" x="1397"/>
        <item x="978"/>
        <item m="1" x="1891"/>
        <item m="1" x="2174"/>
        <item m="1" x="1689"/>
        <item m="1" x="1693"/>
        <item m="1" x="1051"/>
        <item m="1" x="1894"/>
        <item x="18"/>
        <item m="1" x="1059"/>
        <item x="21"/>
        <item m="1" x="2178"/>
        <item m="1" x="1704"/>
        <item m="1" x="2179"/>
        <item m="1" x="2180"/>
        <item m="1" x="1070"/>
        <item m="1" x="2181"/>
        <item m="1" x="1710"/>
        <item m="1" x="1423"/>
        <item m="1" x="2182"/>
        <item m="1" x="2183"/>
        <item m="1" x="1076"/>
        <item x="75"/>
        <item x="76"/>
        <item m="1" x="1078"/>
        <item x="78"/>
        <item m="1" x="2016"/>
        <item m="1" x="2184"/>
        <item m="1" x="2134"/>
        <item m="1" x="2135"/>
        <item m="1" x="1439"/>
        <item m="1" x="1443"/>
        <item m="1" x="2021"/>
        <item x="123"/>
        <item x="133"/>
        <item x="140"/>
        <item m="1" x="1108"/>
        <item x="179"/>
        <item m="1" x="1112"/>
        <item x="189"/>
        <item m="1" x="1117"/>
        <item m="1" x="2032"/>
        <item m="1" x="1126"/>
        <item m="1" x="1133"/>
        <item m="1" x="1134"/>
        <item m="1" x="2190"/>
        <item m="1" x="1140"/>
        <item x="214"/>
        <item m="1" x="1462"/>
        <item m="1" x="2038"/>
        <item x="235"/>
        <item x="241"/>
        <item x="247"/>
        <item m="1" x="1150"/>
        <item x="253"/>
        <item x="295"/>
        <item m="1" x="1745"/>
        <item x="299"/>
        <item m="1" x="1746"/>
        <item x="304"/>
        <item m="1" x="2192"/>
        <item m="1" x="2043"/>
        <item x="307"/>
        <item x="310"/>
        <item m="1" x="1748"/>
        <item m="1" x="1170"/>
        <item m="1" x="1172"/>
        <item x="320"/>
        <item m="1" x="1924"/>
        <item m="1" x="1925"/>
        <item m="1" x="1177"/>
        <item x="335"/>
        <item m="1" x="1751"/>
        <item m="1" x="1752"/>
        <item x="349"/>
        <item x="350"/>
        <item m="1" x="1182"/>
        <item m="1" x="1187"/>
        <item m="1" x="1755"/>
        <item x="379"/>
        <item m="1" x="1495"/>
        <item x="390"/>
        <item m="1" x="1197"/>
        <item x="395"/>
        <item x="400"/>
        <item x="410"/>
        <item x="444"/>
        <item x="446"/>
        <item x="455"/>
        <item x="457"/>
        <item m="1" x="1208"/>
        <item x="468"/>
        <item m="1" x="1211"/>
        <item m="1" x="1505"/>
        <item x="495"/>
        <item x="497"/>
        <item x="510"/>
        <item m="1" x="1512"/>
        <item m="1" x="2197"/>
        <item x="532"/>
        <item x="544"/>
        <item m="1" x="1518"/>
        <item m="1" x="1778"/>
        <item m="1" x="2063"/>
        <item m="1" x="2198"/>
        <item m="1" x="2199"/>
        <item x="577"/>
        <item m="1" x="1238"/>
        <item m="1" x="1240"/>
        <item m="1" x="2200"/>
        <item m="1" x="2201"/>
        <item m="1" x="2202"/>
        <item m="1" x="1242"/>
        <item x="590"/>
        <item x="594"/>
        <item m="1" x="1546"/>
        <item m="1" x="1251"/>
        <item m="1" x="2204"/>
        <item m="1" x="1803"/>
        <item m="1" x="1806"/>
        <item x="623"/>
        <item m="1" x="2206"/>
        <item m="1" x="1808"/>
        <item x="628"/>
        <item m="1" x="2207"/>
        <item m="1" x="1263"/>
        <item m="1" x="1264"/>
        <item m="1" x="2209"/>
        <item m="1" x="1816"/>
        <item x="698"/>
        <item m="1" x="2212"/>
        <item m="1" x="2213"/>
        <item m="1" x="2214"/>
        <item m="1" x="2216"/>
        <item m="1" x="1579"/>
        <item m="1" x="2217"/>
        <item m="1" x="1282"/>
        <item m="1" x="2218"/>
        <item m="1" x="1289"/>
        <item m="1" x="1588"/>
        <item x="728"/>
        <item m="1" x="1590"/>
        <item m="1" x="1830"/>
        <item m="1" x="1593"/>
        <item m="1" x="2219"/>
        <item x="748"/>
        <item x="753"/>
        <item m="1" x="1600"/>
        <item m="1" x="2095"/>
        <item m="1" x="1836"/>
        <item m="1" x="2221"/>
        <item m="1" x="2222"/>
        <item m="1" x="2223"/>
        <item m="1" x="2100"/>
        <item x="770"/>
        <item m="1" x="1838"/>
        <item m="1" x="1615"/>
        <item m="1" x="1314"/>
        <item m="1" x="1316"/>
        <item m="1" x="1839"/>
        <item m="1" x="1321"/>
        <item m="1" x="2225"/>
        <item x="794"/>
        <item m="1" x="1626"/>
        <item m="1" x="2227"/>
        <item x="797"/>
        <item m="1" x="1629"/>
        <item x="798"/>
        <item m="1" x="2229"/>
        <item m="1" x="2230"/>
        <item m="1" x="2231"/>
        <item m="1" x="2232"/>
        <item m="1" x="1336"/>
        <item m="1" x="1849"/>
        <item m="1" x="1971"/>
        <item x="835"/>
        <item x="841"/>
        <item m="1" x="1973"/>
        <item m="1" x="2233"/>
        <item m="1" x="1642"/>
        <item x="853"/>
        <item m="1" x="1350"/>
        <item x="857"/>
        <item x="858"/>
        <item x="870"/>
        <item x="875"/>
        <item m="1" x="1356"/>
        <item m="1" x="1362"/>
        <item m="1" x="1653"/>
        <item m="1" x="2235"/>
        <item m="1" x="1370"/>
        <item m="1" x="1665"/>
        <item m="1" x="1989"/>
        <item m="1" x="2236"/>
        <item m="1" x="2237"/>
        <item x="922"/>
        <item m="1" x="2238"/>
        <item m="1" x="1875"/>
        <item m="1" x="2239"/>
        <item m="1" x="1380"/>
        <item m="1" x="1674"/>
        <item m="1" x="1384"/>
        <item x="950"/>
        <item x="952"/>
        <item m="1" x="1682"/>
        <item m="1" x="1884"/>
        <item m="1" x="2121"/>
        <item m="1" x="1885"/>
        <item m="1" x="1998"/>
        <item m="1" x="2240"/>
        <item m="1" x="1887"/>
        <item x="999"/>
        <item m="1" x="2130"/>
        <item m="1" x="2133"/>
        <item m="1" x="1692"/>
        <item m="1" x="1405"/>
        <item x="1042"/>
        <item x="1044"/>
        <item x="568"/>
        <item m="1" x="2008"/>
        <item m="1" x="1697"/>
        <item m="1" x="2009"/>
        <item m="1" x="1408"/>
        <item m="1" x="1698"/>
        <item m="1" x="1053"/>
        <item x="15"/>
        <item m="1" x="1702"/>
        <item x="20"/>
        <item x="28"/>
        <item m="1" x="1062"/>
        <item m="1" x="1416"/>
        <item m="1" x="1419"/>
        <item m="1" x="1898"/>
        <item x="53"/>
        <item m="1" x="1068"/>
        <item m="1" x="1426"/>
        <item m="1" x="1714"/>
        <item m="1" x="2013"/>
        <item m="1" x="1431"/>
        <item m="1" x="2015"/>
        <item x="84"/>
        <item x="87"/>
        <item x="88"/>
        <item m="1" x="1904"/>
        <item m="1" x="1441"/>
        <item x="110"/>
        <item m="1" x="1092"/>
        <item x="112"/>
        <item m="1" x="2024"/>
        <item m="1" x="1104"/>
        <item m="1" x="1725"/>
        <item m="1" x="1109"/>
        <item x="157"/>
        <item x="175"/>
        <item m="1" x="1912"/>
        <item x="188"/>
        <item x="190"/>
        <item m="1" x="1456"/>
        <item m="1" x="2033"/>
        <item m="1" x="2034"/>
        <item m="1" x="1122"/>
        <item m="1" x="1124"/>
        <item m="1" x="1737"/>
        <item m="1" x="1130"/>
        <item m="1" x="1141"/>
        <item m="1" x="1917"/>
        <item x="248"/>
        <item x="259"/>
        <item m="1" x="1469"/>
        <item x="265"/>
        <item m="1" x="1474"/>
        <item x="287"/>
        <item x="300"/>
        <item x="301"/>
        <item x="314"/>
        <item m="1" x="1169"/>
        <item m="1" x="2044"/>
        <item x="329"/>
        <item x="337"/>
        <item m="1" x="1178"/>
        <item m="1" x="1179"/>
        <item m="1" x="1750"/>
        <item x="353"/>
        <item m="1" x="1926"/>
        <item m="1" x="2050"/>
        <item m="1" x="1493"/>
        <item m="1" x="1494"/>
        <item m="1" x="1756"/>
        <item x="406"/>
        <item m="1" x="1760"/>
        <item x="425"/>
        <item x="431"/>
        <item x="436"/>
        <item x="439"/>
        <item m="1" x="1502"/>
        <item m="1" x="1762"/>
        <item x="453"/>
        <item x="454"/>
        <item m="1" x="1763"/>
        <item x="459"/>
        <item x="467"/>
        <item m="1" x="1503"/>
        <item m="1" x="2053"/>
        <item m="1" x="2054"/>
        <item m="1" x="2056"/>
        <item m="1" x="1765"/>
        <item x="514"/>
        <item x="516"/>
        <item m="1" x="1509"/>
        <item m="1" x="1221"/>
        <item m="1" x="2060"/>
        <item m="1" x="1771"/>
        <item m="1" x="1774"/>
        <item x="529"/>
        <item x="531"/>
        <item m="1" x="1776"/>
        <item x="533"/>
        <item x="543"/>
        <item m="1" x="1225"/>
        <item m="1" x="1226"/>
        <item m="1" x="2062"/>
        <item x="553"/>
        <item m="1" x="1779"/>
        <item m="1" x="1232"/>
        <item x="570"/>
        <item m="1" x="2065"/>
        <item m="1" x="1527"/>
        <item m="1" x="2066"/>
        <item m="1" x="2067"/>
        <item m="1" x="1789"/>
        <item x="585"/>
        <item m="1" x="2071"/>
        <item m="1" x="2072"/>
        <item m="1" x="2073"/>
        <item x="593"/>
        <item x="601"/>
        <item m="1" x="1539"/>
        <item m="1" x="2077"/>
        <item m="1" x="1945"/>
        <item m="1" x="2079"/>
        <item x="610"/>
        <item m="1" x="2080"/>
        <item m="1" x="2081"/>
        <item m="1" x="2082"/>
        <item m="1" x="1553"/>
        <item m="1" x="1555"/>
        <item x="636"/>
        <item m="1" x="2083"/>
        <item x="655"/>
        <item x="657"/>
        <item x="663"/>
        <item m="1" x="2084"/>
        <item m="1" x="2085"/>
        <item m="1" x="2086"/>
        <item x="676"/>
        <item m="1" x="1269"/>
        <item x="688"/>
        <item m="1" x="1574"/>
        <item x="701"/>
        <item x="703"/>
        <item m="1" x="1280"/>
        <item m="1" x="2089"/>
        <item m="1" x="1824"/>
        <item x="716"/>
        <item m="1" x="1956"/>
        <item m="1" x="1284"/>
        <item m="1" x="2092"/>
        <item m="1" x="1825"/>
        <item m="1" x="1826"/>
        <item m="1" x="1831"/>
        <item m="1" x="1299"/>
        <item m="1" x="2093"/>
        <item m="1" x="1303"/>
        <item x="759"/>
        <item m="1" x="1603"/>
        <item m="1" x="1605"/>
        <item m="1" x="2096"/>
        <item m="1" x="1308"/>
        <item m="1" x="1608"/>
        <item m="1" x="1310"/>
        <item m="1" x="2101"/>
        <item x="767"/>
        <item m="1" x="1613"/>
        <item m="1" x="2102"/>
        <item m="1" x="1621"/>
        <item x="783"/>
        <item m="1" x="1319"/>
        <item m="1" x="2103"/>
        <item m="1" x="1625"/>
        <item m="1" x="1964"/>
        <item x="791"/>
        <item m="1" x="1325"/>
        <item m="1" x="1328"/>
        <item m="1" x="1843"/>
        <item m="1" x="2106"/>
        <item m="1" x="1965"/>
        <item m="1" x="1333"/>
        <item m="1" x="1631"/>
        <item x="812"/>
        <item x="813"/>
        <item m="1" x="2107"/>
        <item m="1" x="1632"/>
        <item m="1" x="1633"/>
        <item m="1" x="1970"/>
        <item x="840"/>
        <item x="843"/>
        <item x="847"/>
        <item m="1" x="1347"/>
        <item x="852"/>
        <item m="1" x="1857"/>
        <item m="1" x="2110"/>
        <item m="1" x="1978"/>
        <item x="877"/>
        <item x="878"/>
        <item x="882"/>
        <item x="896"/>
        <item m="1" x="1983"/>
        <item m="1" x="1365"/>
        <item m="1" x="1988"/>
        <item x="914"/>
        <item m="1" x="1374"/>
        <item m="1" x="2116"/>
        <item m="1" x="2117"/>
        <item m="1" x="2118"/>
        <item x="944"/>
        <item m="1" x="1878"/>
        <item x="948"/>
        <item m="1" x="2119"/>
        <item m="1" x="2120"/>
        <item x="967"/>
        <item m="1" x="2123"/>
        <item m="1" x="1394"/>
        <item m="1" x="2126"/>
        <item m="1" x="2127"/>
        <item m="1" x="2128"/>
        <item x="974"/>
        <item m="1" x="1686"/>
        <item x="980"/>
        <item x="982"/>
        <item x="983"/>
        <item m="1" x="1889"/>
        <item x="989"/>
        <item x="993"/>
        <item x="994"/>
        <item x="998"/>
        <item m="1" x="1687"/>
        <item x="1004"/>
        <item m="1" x="1893"/>
        <item m="1" x="2132"/>
        <item m="1" x="2006"/>
        <item x="1025"/>
        <item m="1" x="1895"/>
        <item m="1" x="1055"/>
        <item m="1" x="1701"/>
        <item x="19"/>
        <item m="1" x="1060"/>
        <item m="1" x="1414"/>
        <item x="31"/>
        <item x="32"/>
        <item x="33"/>
        <item m="1" x="1065"/>
        <item x="49"/>
        <item m="1" x="1897"/>
        <item m="1" x="1421"/>
        <item m="1" x="1708"/>
        <item m="1" x="1899"/>
        <item m="1" x="1711"/>
        <item x="64"/>
        <item x="65"/>
        <item m="1" x="1900"/>
        <item m="1" x="1903"/>
        <item m="1" x="1089"/>
        <item x="104"/>
        <item m="1" x="1097"/>
        <item m="1" x="1445"/>
        <item x="137"/>
        <item x="149"/>
        <item m="1" x="1913"/>
        <item m="1" x="1914"/>
        <item x="185"/>
        <item x="191"/>
        <item m="1" x="1732"/>
        <item m="1" x="1915"/>
        <item x="194"/>
        <item x="195"/>
        <item m="1" x="1736"/>
        <item m="1" x="1916"/>
        <item m="1" x="1131"/>
        <item x="211"/>
        <item m="1" x="1461"/>
        <item x="216"/>
        <item m="1" x="1143"/>
        <item x="220"/>
        <item m="1" x="1145"/>
        <item x="225"/>
        <item x="233"/>
        <item m="1" x="1741"/>
        <item m="1" x="1149"/>
        <item m="1" x="1466"/>
        <item x="251"/>
        <item x="254"/>
        <item x="260"/>
        <item m="1" x="1919"/>
        <item m="1" x="1153"/>
        <item x="274"/>
        <item x="281"/>
        <item x="296"/>
        <item m="1" x="1920"/>
        <item m="1" x="1478"/>
        <item m="1" x="1479"/>
        <item m="1" x="1747"/>
        <item m="1" x="1922"/>
        <item m="1" x="1173"/>
        <item m="1" x="1174"/>
        <item x="325"/>
        <item m="1" x="1482"/>
        <item x="345"/>
        <item m="1" x="1929"/>
        <item x="386"/>
        <item x="401"/>
        <item m="1" x="1757"/>
        <item x="402"/>
        <item x="403"/>
        <item x="404"/>
        <item m="1" x="1497"/>
        <item x="405"/>
        <item m="1" x="1758"/>
        <item m="1" x="1759"/>
        <item x="420"/>
        <item m="1" x="1932"/>
        <item x="437"/>
        <item m="1" x="1205"/>
        <item x="448"/>
        <item x="460"/>
        <item x="479"/>
        <item x="487"/>
        <item x="511"/>
        <item m="1" x="1934"/>
        <item m="1" x="1219"/>
        <item m="1" x="1770"/>
        <item x="518"/>
        <item m="1" x="1935"/>
        <item x="519"/>
        <item m="1" x="1936"/>
        <item x="521"/>
        <item x="528"/>
        <item m="1" x="1516"/>
        <item m="1" x="1227"/>
        <item x="547"/>
        <item m="1" x="1938"/>
        <item m="1" x="1234"/>
        <item m="1" x="1523"/>
        <item x="574"/>
        <item m="1" x="1939"/>
        <item m="1" x="1235"/>
        <item m="1" x="1526"/>
        <item x="576"/>
        <item m="1" x="1237"/>
        <item x="581"/>
        <item m="1" x="1940"/>
        <item m="1" x="1533"/>
        <item m="1" x="1941"/>
        <item m="1" x="1794"/>
        <item m="1" x="1535"/>
        <item m="1" x="1942"/>
        <item m="1" x="1537"/>
        <item m="1" x="1943"/>
        <item x="616"/>
        <item m="1" x="1798"/>
        <item m="1" x="1799"/>
        <item m="1" x="1946"/>
        <item m="1" x="1947"/>
        <item m="1" x="1948"/>
        <item m="1" x="1255"/>
        <item m="1" x="1949"/>
        <item m="1" x="1256"/>
        <item m="1" x="1950"/>
        <item x="638"/>
        <item x="640"/>
        <item x="647"/>
        <item m="1" x="1811"/>
        <item x="666"/>
        <item m="1" x="1951"/>
        <item x="672"/>
        <item m="1" x="1813"/>
        <item m="1" x="1817"/>
        <item m="1" x="1275"/>
        <item m="1" x="1819"/>
        <item x="700"/>
        <item m="1" x="1820"/>
        <item m="1" x="1954"/>
        <item x="708"/>
        <item m="1" x="1823"/>
        <item m="1" x="1582"/>
        <item m="1" x="1285"/>
        <item m="1" x="1286"/>
        <item m="1" x="1295"/>
        <item m="1" x="1300"/>
        <item x="745"/>
        <item x="746"/>
        <item x="747"/>
        <item m="1" x="1832"/>
        <item m="1" x="1958"/>
        <item x="755"/>
        <item m="1" x="1601"/>
        <item m="1" x="1960"/>
        <item m="1" x="1307"/>
        <item m="1" x="1610"/>
        <item x="768"/>
        <item x="773"/>
        <item x="779"/>
        <item m="1" x="1622"/>
        <item m="1" x="1962"/>
        <item m="1" x="1963"/>
        <item m="1" x="1323"/>
        <item x="796"/>
        <item x="807"/>
        <item m="1" x="1967"/>
        <item m="1" x="1968"/>
        <item m="1" x="1340"/>
        <item m="1" x="1635"/>
        <item x="827"/>
        <item x="828"/>
        <item m="1" x="1341"/>
        <item m="1" x="1972"/>
        <item m="1" x="1854"/>
        <item x="836"/>
        <item m="1" x="1975"/>
        <item m="1" x="1976"/>
        <item x="859"/>
        <item x="869"/>
        <item m="1" x="1354"/>
        <item m="1" x="1355"/>
        <item m="1" x="1859"/>
        <item m="1" x="1860"/>
        <item m="1" x="1861"/>
        <item m="1" x="1979"/>
        <item x="889"/>
        <item m="1" x="1981"/>
        <item m="1" x="1655"/>
        <item m="1" x="1984"/>
        <item m="1" x="1985"/>
        <item m="1" x="1986"/>
        <item m="1" x="1987"/>
        <item m="1" x="1868"/>
        <item m="1" x="1368"/>
        <item m="1" x="1663"/>
        <item m="1" x="1669"/>
        <item m="1" x="1378"/>
        <item x="930"/>
        <item m="1" x="1992"/>
        <item x="938"/>
        <item m="1" x="1382"/>
        <item m="1" x="1994"/>
        <item m="1" x="1680"/>
        <item m="1" x="1390"/>
        <item x="961"/>
        <item x="965"/>
        <item m="1" x="2001"/>
        <item m="1" x="2002"/>
        <item m="1" x="1396"/>
        <item x="984"/>
        <item m="1" x="1890"/>
        <item x="985"/>
        <item x="1003"/>
        <item m="1" x="2007"/>
        <item m="1" x="1691"/>
        <item x="1033"/>
        <item m="1" x="1696"/>
        <item x="22"/>
        <item x="25"/>
        <item m="1" x="1703"/>
        <item m="1" x="1417"/>
        <item m="1" x="1705"/>
        <item x="54"/>
        <item m="1" x="1706"/>
        <item m="1" x="1707"/>
        <item x="62"/>
        <item x="63"/>
        <item x="66"/>
        <item x="72"/>
        <item m="1" x="1080"/>
        <item m="1" x="1085"/>
        <item m="1" x="1086"/>
        <item m="1" x="1438"/>
        <item m="1" x="1715"/>
        <item x="103"/>
        <item m="1" x="1093"/>
        <item x="115"/>
        <item m="1" x="1094"/>
        <item m="1" x="1099"/>
        <item m="1" x="1723"/>
        <item x="150"/>
        <item x="151"/>
        <item x="153"/>
        <item x="154"/>
        <item x="155"/>
        <item x="156"/>
        <item x="161"/>
        <item x="164"/>
        <item x="172"/>
        <item m="1" x="1733"/>
        <item m="1" x="1734"/>
        <item m="1" x="1118"/>
        <item m="1" x="1735"/>
        <item x="202"/>
        <item m="1" x="1136"/>
        <item x="213"/>
        <item m="1" x="1740"/>
        <item x="242"/>
        <item m="1" x="1742"/>
        <item m="1" x="1743"/>
        <item x="267"/>
        <item m="1" x="1159"/>
        <item m="1" x="1476"/>
        <item x="303"/>
        <item x="312"/>
        <item m="1" x="1167"/>
        <item x="324"/>
        <item m="1" x="1175"/>
        <item x="327"/>
        <item x="330"/>
        <item x="331"/>
        <item m="1" x="1184"/>
        <item x="363"/>
        <item x="365"/>
        <item x="367"/>
        <item x="368"/>
        <item x="369"/>
        <item x="385"/>
        <item x="413"/>
        <item x="414"/>
        <item x="419"/>
        <item m="1" x="1201"/>
        <item x="447"/>
        <item m="1" x="1207"/>
        <item m="1" x="1216"/>
        <item m="1" x="1220"/>
        <item m="1" x="1768"/>
        <item m="1" x="1511"/>
        <item m="1" x="1773"/>
        <item m="1" x="1224"/>
        <item x="550"/>
        <item m="1" x="1777"/>
        <item x="552"/>
        <item x="565"/>
        <item m="1" x="1524"/>
        <item m="1" x="1525"/>
        <item m="1" x="1785"/>
        <item m="1" x="1529"/>
        <item m="1" x="1788"/>
        <item m="1" x="1239"/>
        <item m="1" x="1791"/>
        <item m="1" x="1241"/>
        <item x="589"/>
        <item m="1" x="1793"/>
        <item m="1" x="1244"/>
        <item x="605"/>
        <item m="1" x="1797"/>
        <item m="1" x="1800"/>
        <item m="1" x="1801"/>
        <item m="1" x="1802"/>
        <item m="1" x="1804"/>
        <item m="1" x="1259"/>
        <item m="1" x="1810"/>
        <item x="637"/>
        <item x="639"/>
        <item m="1" x="1262"/>
        <item x="669"/>
        <item m="1" x="1812"/>
        <item m="1" x="1814"/>
        <item m="1" x="1568"/>
        <item m="1" x="1569"/>
        <item m="1" x="1274"/>
        <item m="1" x="1572"/>
        <item m="1" x="1818"/>
        <item x="699"/>
        <item m="1" x="1822"/>
        <item x="717"/>
        <item m="1" x="1294"/>
        <item m="1" x="1833"/>
        <item m="1" x="1834"/>
        <item m="1" x="1306"/>
        <item m="1" x="1312"/>
        <item x="772"/>
        <item m="1" x="1318"/>
        <item x="786"/>
        <item x="787"/>
        <item m="1" x="1841"/>
        <item m="1" x="1322"/>
        <item m="1" x="1329"/>
        <item x="802"/>
        <item x="803"/>
        <item m="1" x="1844"/>
        <item x="815"/>
        <item m="1" x="1850"/>
        <item m="1" x="1851"/>
        <item m="1" x="1639"/>
        <item m="1" x="1858"/>
        <item x="881"/>
        <item m="1" x="1649"/>
        <item x="887"/>
        <item x="891"/>
        <item m="1" x="1363"/>
        <item m="1" x="1865"/>
        <item x="903"/>
        <item m="1" x="1869"/>
        <item x="905"/>
        <item x="906"/>
        <item m="1" x="1870"/>
        <item x="910"/>
        <item m="1" x="1372"/>
        <item x="920"/>
        <item m="1" x="1668"/>
        <item x="929"/>
        <item m="1" x="1873"/>
        <item m="1" x="1874"/>
        <item m="1" x="1877"/>
        <item x="942"/>
        <item m="1" x="1386"/>
        <item m="1" x="1879"/>
        <item m="1" x="1880"/>
        <item m="1" x="1882"/>
        <item x="957"/>
        <item m="1" x="1883"/>
        <item m="1" x="1886"/>
        <item x="973"/>
        <item m="1" x="1398"/>
        <item m="1" x="1892"/>
        <item x="1007"/>
        <item m="1" x="1694"/>
        <item m="1" x="1056"/>
        <item m="1" x="1411"/>
        <item x="24"/>
        <item m="1" x="1413"/>
        <item m="1" x="1418"/>
        <item m="1" x="1069"/>
        <item m="1" x="1424"/>
        <item m="1" x="1083"/>
        <item x="83"/>
        <item m="1" x="1437"/>
        <item m="1" x="1444"/>
        <item x="117"/>
        <item x="152"/>
        <item m="1" x="1454"/>
        <item m="1" x="1455"/>
        <item m="1" x="1457"/>
        <item m="1" x="1120"/>
        <item m="1" x="1458"/>
        <item x="204"/>
        <item x="206"/>
        <item x="208"/>
        <item m="1" x="1139"/>
        <item x="219"/>
        <item x="243"/>
        <item x="244"/>
        <item m="1" x="1465"/>
        <item x="282"/>
        <item m="1" x="1473"/>
        <item x="290"/>
        <item m="1" x="1160"/>
        <item m="1" x="1176"/>
        <item m="1" x="1485"/>
        <item m="1" x="1486"/>
        <item m="1" x="1487"/>
        <item m="1" x="1488"/>
        <item m="1" x="1192"/>
        <item m="1" x="1195"/>
        <item x="391"/>
        <item m="1" x="1196"/>
        <item x="440"/>
        <item x="496"/>
        <item m="1" x="1506"/>
        <item m="1" x="1507"/>
        <item m="1" x="1513"/>
        <item x="541"/>
        <item m="1" x="1517"/>
        <item m="1" x="1519"/>
        <item m="1" x="1231"/>
        <item m="1" x="1520"/>
        <item m="1" x="1522"/>
        <item m="1" x="1528"/>
        <item x="586"/>
        <item x="587"/>
        <item m="1" x="1536"/>
        <item m="1" x="1538"/>
        <item m="1" x="1540"/>
        <item x="609"/>
        <item m="1" x="1542"/>
        <item m="1" x="1543"/>
        <item m="1" x="1544"/>
        <item m="1" x="1545"/>
        <item m="1" x="1548"/>
        <item m="1" x="1549"/>
        <item m="1" x="1550"/>
        <item m="1" x="1551"/>
        <item m="1" x="1552"/>
        <item m="1" x="1556"/>
        <item x="627"/>
        <item m="1" x="1558"/>
        <item m="1" x="1561"/>
        <item x="633"/>
        <item x="635"/>
        <item x="651"/>
        <item x="658"/>
        <item x="659"/>
        <item m="1" x="1260"/>
        <item x="664"/>
        <item m="1" x="1565"/>
        <item m="1" x="1567"/>
        <item x="673"/>
        <item m="1" x="1265"/>
        <item m="1" x="1267"/>
        <item x="684"/>
        <item x="685"/>
        <item m="1" x="1271"/>
        <item m="1" x="1272"/>
        <item m="1" x="1570"/>
        <item m="1" x="1571"/>
        <item m="1" x="1576"/>
        <item m="1" x="1277"/>
        <item m="1" x="1578"/>
        <item m="1" x="1586"/>
        <item x="723"/>
        <item m="1" x="1589"/>
        <item x="738"/>
        <item x="739"/>
        <item m="1" x="1595"/>
        <item m="1" x="1596"/>
        <item m="1" x="1597"/>
        <item m="1" x="1302"/>
        <item m="1" x="1599"/>
        <item m="1" x="1604"/>
        <item m="1" x="1607"/>
        <item m="1" x="1612"/>
        <item m="1" x="1616"/>
        <item m="1" x="1617"/>
        <item m="1" x="1618"/>
        <item m="1" x="1619"/>
        <item m="1" x="1620"/>
        <item m="1" x="1623"/>
        <item x="792"/>
        <item m="1" x="1630"/>
        <item x="814"/>
        <item x="825"/>
        <item m="1" x="1636"/>
        <item m="1" x="1637"/>
        <item x="846"/>
        <item m="1" x="1641"/>
        <item m="1" x="1348"/>
        <item m="1" x="1351"/>
        <item m="1" x="1643"/>
        <item m="1" x="1353"/>
        <item m="1" x="1357"/>
        <item x="884"/>
        <item x="885"/>
        <item m="1" x="1651"/>
        <item m="1" x="1654"/>
        <item m="1" x="1656"/>
        <item m="1" x="1366"/>
        <item m="1" x="1661"/>
        <item m="1" x="1662"/>
        <item m="1" x="1369"/>
        <item m="1" x="1664"/>
        <item m="1" x="1666"/>
        <item m="1" x="1667"/>
        <item x="926"/>
        <item x="928"/>
        <item m="1" x="1671"/>
        <item x="935"/>
        <item m="1" x="1673"/>
        <item x="943"/>
        <item m="1" x="1385"/>
        <item x="949"/>
        <item m="1" x="1675"/>
        <item m="1" x="1677"/>
        <item m="1" x="1389"/>
        <item m="1" x="1684"/>
        <item m="1" x="1685"/>
        <item x="976"/>
        <item x="977"/>
        <item x="1026"/>
        <item x="1032"/>
        <item x="12"/>
        <item x="14"/>
        <item m="1" x="1061"/>
        <item m="1" x="1067"/>
        <item x="52"/>
        <item m="1" x="1072"/>
        <item x="69"/>
        <item m="1" x="1074"/>
        <item m="1" x="1079"/>
        <item m="1" x="1081"/>
        <item m="1" x="1091"/>
        <item m="1" x="1096"/>
        <item m="1" x="1101"/>
        <item m="1" x="1127"/>
        <item m="1" x="1144"/>
        <item m="1" x="1148"/>
        <item x="266"/>
        <item x="269"/>
        <item x="271"/>
        <item x="291"/>
        <item x="308"/>
        <item x="370"/>
        <item x="393"/>
        <item x="398"/>
        <item m="1" x="1199"/>
        <item x="408"/>
        <item m="1" x="1214"/>
        <item x="513"/>
        <item m="1" x="1218"/>
        <item x="517"/>
        <item m="1" x="1223"/>
        <item m="1" x="1233"/>
        <item x="573"/>
        <item m="1" x="1236"/>
        <item m="1" x="1243"/>
        <item x="611"/>
        <item m="1" x="1246"/>
        <item m="1" x="1247"/>
        <item m="1" x="1248"/>
        <item m="1" x="1249"/>
        <item m="1" x="1253"/>
        <item m="1" x="1257"/>
        <item x="641"/>
        <item x="642"/>
        <item x="650"/>
        <item x="652"/>
        <item x="653"/>
        <item x="656"/>
        <item m="1" x="1261"/>
        <item x="662"/>
        <item x="674"/>
        <item m="1" x="1266"/>
        <item x="675"/>
        <item x="680"/>
        <item x="682"/>
        <item x="686"/>
        <item m="1" x="1270"/>
        <item x="694"/>
        <item m="1" x="1283"/>
        <item x="730"/>
        <item x="737"/>
        <item x="740"/>
        <item x="758"/>
        <item m="1" x="1304"/>
        <item m="1" x="1305"/>
        <item x="763"/>
        <item x="764"/>
        <item m="1" x="1315"/>
        <item m="1" x="1317"/>
        <item m="1" x="1331"/>
        <item m="1" x="1334"/>
        <item m="1" x="1335"/>
        <item m="1" x="1337"/>
        <item m="1" x="1338"/>
        <item x="826"/>
        <item m="1" x="1358"/>
        <item m="1" x="1359"/>
        <item x="883"/>
        <item m="1" x="1364"/>
        <item x="908"/>
        <item m="1" x="1371"/>
        <item x="911"/>
        <item m="1" x="1375"/>
        <item m="1" x="1377"/>
        <item x="947"/>
        <item x="955"/>
        <item x="956"/>
        <item x="963"/>
        <item m="1" x="1393"/>
        <item x="969"/>
        <item x="1023"/>
        <item x="56"/>
        <item x="59"/>
        <item x="60"/>
        <item x="92"/>
        <item x="192"/>
        <item x="193"/>
        <item x="240"/>
        <item x="250"/>
        <item x="277"/>
        <item x="289"/>
        <item x="292"/>
        <item x="311"/>
        <item x="317"/>
        <item x="323"/>
        <item x="326"/>
        <item x="347"/>
        <item x="348"/>
        <item x="366"/>
        <item x="449"/>
        <item x="462"/>
        <item x="464"/>
        <item x="535"/>
        <item x="537"/>
        <item x="563"/>
        <item x="569"/>
        <item x="571"/>
        <item x="588"/>
        <item x="591"/>
        <item x="595"/>
        <item x="596"/>
        <item x="604"/>
        <item x="606"/>
        <item x="607"/>
        <item x="612"/>
        <item x="613"/>
        <item x="618"/>
        <item x="619"/>
        <item x="620"/>
        <item x="621"/>
        <item x="622"/>
        <item x="624"/>
        <item x="625"/>
        <item x="629"/>
        <item x="660"/>
        <item x="661"/>
        <item x="678"/>
        <item x="681"/>
        <item x="692"/>
        <item x="695"/>
        <item x="697"/>
        <item x="706"/>
        <item x="714"/>
        <item x="744"/>
        <item x="749"/>
        <item x="750"/>
        <item x="751"/>
        <item x="752"/>
        <item x="760"/>
        <item x="761"/>
        <item x="762"/>
        <item x="765"/>
        <item x="774"/>
        <item x="781"/>
        <item x="782"/>
        <item x="790"/>
        <item x="793"/>
        <item x="799"/>
        <item x="800"/>
        <item x="801"/>
        <item x="804"/>
        <item x="805"/>
        <item x="808"/>
        <item x="809"/>
        <item x="810"/>
        <item x="811"/>
        <item x="818"/>
        <item x="823"/>
        <item x="824"/>
        <item x="834"/>
        <item x="876"/>
        <item x="886"/>
        <item x="895"/>
        <item x="897"/>
        <item x="902"/>
        <item x="904"/>
        <item x="907"/>
        <item x="909"/>
        <item x="912"/>
        <item x="921"/>
        <item x="923"/>
        <item x="924"/>
        <item x="925"/>
        <item x="986"/>
        <item x="996"/>
        <item x="1017"/>
        <item t="default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showAll="0"/>
    <pivotField showAll="0"/>
    <pivotField axis="axisRow" multipleItemSelectionAllowed="1" showAll="0">
      <items count="64">
        <item h="1" x="1"/>
        <item h="1" x="2"/>
        <item h="1" x="3"/>
        <item h="1" x="4"/>
        <item h="1" x="5"/>
        <item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8"/>
        <item h="1" x="39"/>
        <item h="1" x="40"/>
        <item h="1" x="41"/>
        <item h="1" x="42"/>
        <item h="1" x="43"/>
        <item h="1" x="44"/>
        <item h="1" x="46"/>
        <item h="1" x="47"/>
        <item h="1" x="48"/>
        <item h="1" x="49"/>
        <item x="50"/>
        <item x="51"/>
        <item h="1" x="52"/>
        <item h="1" x="53"/>
        <item h="1" x="54"/>
        <item x="55"/>
        <item h="1" x="56"/>
        <item h="1" x="57"/>
        <item h="1" x="0"/>
        <item h="1" x="58"/>
        <item h="1" x="59"/>
        <item x="60"/>
        <item h="1" x="45"/>
        <item h="1" x="61"/>
        <item h="1" m="1" x="62"/>
        <item h="1" x="37"/>
        <item t="default"/>
      </items>
    </pivotField>
    <pivotField dataField="1" showAll="0"/>
    <pivotField numFmtId="8" showAll="0"/>
    <pivotField showAll="0"/>
    <pivotField numFmtId="8" showAll="0"/>
    <pivotField numFmtId="8" showAll="0"/>
    <pivotField dataField="1" numFmtId="8" showAll="0"/>
    <pivotField numFmtId="8" showAll="0"/>
    <pivotField numFmtId="8" showAll="0"/>
    <pivotField showAll="0"/>
  </pivotFields>
  <rowFields count="2">
    <field x="3"/>
    <field x="0"/>
  </rowFields>
  <rowItems count="35">
    <i>
      <x v="5"/>
    </i>
    <i r="1">
      <x v="165"/>
    </i>
    <i r="1">
      <x v="80"/>
    </i>
    <i r="1">
      <x v="258"/>
    </i>
    <i r="1">
      <x v="1379"/>
    </i>
    <i r="1">
      <x v="1378"/>
    </i>
    <i r="1">
      <x v="298"/>
    </i>
    <i>
      <x v="47"/>
    </i>
    <i r="1">
      <x v="129"/>
    </i>
    <i r="1">
      <x v="45"/>
    </i>
    <i r="1">
      <x v="132"/>
    </i>
    <i r="1">
      <x v="305"/>
    </i>
    <i r="1">
      <x v="817"/>
    </i>
    <i r="1">
      <x v="260"/>
    </i>
    <i r="1">
      <x v="293"/>
    </i>
    <i r="1">
      <x v="267"/>
    </i>
    <i>
      <x v="48"/>
    </i>
    <i r="1">
      <x v="133"/>
    </i>
    <i>
      <x v="52"/>
    </i>
    <i r="1">
      <x v="13"/>
    </i>
    <i r="1">
      <x v="77"/>
    </i>
    <i r="1">
      <x v="294"/>
    </i>
    <i>
      <x v="58"/>
    </i>
    <i r="1">
      <x v="329"/>
    </i>
    <i r="1">
      <x v="52"/>
    </i>
    <i r="1">
      <x v="41"/>
    </i>
    <i r="1">
      <x v="53"/>
    </i>
    <i r="1">
      <x v="328"/>
    </i>
    <i r="1">
      <x v="38"/>
    </i>
    <i r="1">
      <x v="39"/>
    </i>
    <i r="1">
      <x v="44"/>
    </i>
    <i r="1">
      <x v="40"/>
    </i>
    <i r="1">
      <x v="1353"/>
    </i>
    <i r="1">
      <x v="1354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Items Sold" fld="4" baseField="0" baseItem="0"/>
    <dataField name="Sum of Net Sales" fld="9" baseField="0" baseItem="0" numFmtId="6"/>
  </dataFields>
  <formats count="17">
    <format dxfId="21">
      <pivotArea collapsedLevelsAreSubtotals="1" fieldPosition="0">
        <references count="1">
          <reference field="3" count="1">
            <x v="5"/>
          </reference>
        </references>
      </pivotArea>
    </format>
    <format dxfId="20">
      <pivotArea collapsedLevelsAreSubtotals="1" fieldPosition="0">
        <references count="2">
          <reference field="0" count="8">
            <x v="80"/>
            <x v="165"/>
            <x v="209"/>
            <x v="258"/>
            <x v="286"/>
            <x v="298"/>
            <x v="1165"/>
            <x v="1166"/>
          </reference>
          <reference field="3" count="1" selected="0">
            <x v="5"/>
          </reference>
        </references>
      </pivotArea>
    </format>
    <format dxfId="19">
      <pivotArea collapsedLevelsAreSubtotals="1" fieldPosition="0">
        <references count="1">
          <reference field="3" count="1">
            <x v="47"/>
          </reference>
        </references>
      </pivotArea>
    </format>
    <format dxfId="18">
      <pivotArea collapsedLevelsAreSubtotals="1" fieldPosition="0">
        <references count="2">
          <reference field="0" count="7">
            <x v="45"/>
            <x v="129"/>
            <x v="132"/>
            <x v="260"/>
            <x v="267"/>
            <x v="305"/>
            <x v="817"/>
          </reference>
          <reference field="3" count="1" selected="0">
            <x v="47"/>
          </reference>
        </references>
      </pivotArea>
    </format>
    <format dxfId="17">
      <pivotArea collapsedLevelsAreSubtotals="1" fieldPosition="0">
        <references count="1">
          <reference field="3" count="1">
            <x v="48"/>
          </reference>
        </references>
      </pivotArea>
    </format>
    <format dxfId="16">
      <pivotArea collapsedLevelsAreSubtotals="1" fieldPosition="0">
        <references count="2">
          <reference field="0" count="2">
            <x v="133"/>
            <x v="270"/>
          </reference>
          <reference field="3" count="1" selected="0">
            <x v="48"/>
          </reference>
        </references>
      </pivotArea>
    </format>
    <format dxfId="15">
      <pivotArea collapsedLevelsAreSubtotals="1" fieldPosition="0">
        <references count="1">
          <reference field="3" count="1">
            <x v="52"/>
          </reference>
        </references>
      </pivotArea>
    </format>
    <format dxfId="14">
      <pivotArea collapsedLevelsAreSubtotals="1" fieldPosition="0">
        <references count="2">
          <reference field="0" count="3">
            <x v="13"/>
            <x v="77"/>
            <x v="294"/>
          </reference>
          <reference field="3" count="1" selected="0">
            <x v="52"/>
          </reference>
        </references>
      </pivotArea>
    </format>
    <format dxfId="13">
      <pivotArea collapsedLevelsAreSubtotals="1" fieldPosition="0">
        <references count="1">
          <reference field="3" count="1">
            <x v="58"/>
          </reference>
        </references>
      </pivotArea>
    </format>
    <format dxfId="12">
      <pivotArea collapsedLevelsAreSubtotals="1" fieldPosition="0">
        <references count="2">
          <reference field="0" count="13">
            <x v="38"/>
            <x v="39"/>
            <x v="40"/>
            <x v="41"/>
            <x v="42"/>
            <x v="43"/>
            <x v="44"/>
            <x v="52"/>
            <x v="53"/>
            <x v="328"/>
            <x v="329"/>
            <x v="1353"/>
            <x v="1354"/>
          </reference>
          <reference field="3" count="1" selected="0">
            <x v="58"/>
          </reference>
        </references>
      </pivotArea>
    </format>
    <format dxfId="11">
      <pivotArea dataOnly="0" labelOnly="1" fieldPosition="0">
        <references count="1">
          <reference field="3" count="0"/>
        </references>
      </pivotArea>
    </format>
    <format dxfId="10">
      <pivotArea dataOnly="0" labelOnly="1" fieldPosition="0">
        <references count="2">
          <reference field="0" count="8">
            <x v="80"/>
            <x v="165"/>
            <x v="209"/>
            <x v="258"/>
            <x v="286"/>
            <x v="298"/>
            <x v="1165"/>
            <x v="1166"/>
          </reference>
          <reference field="3" count="1" selected="0">
            <x v="5"/>
          </reference>
        </references>
      </pivotArea>
    </format>
    <format dxfId="9">
      <pivotArea dataOnly="0" labelOnly="1" fieldPosition="0">
        <references count="2">
          <reference field="0" count="7">
            <x v="45"/>
            <x v="129"/>
            <x v="132"/>
            <x v="260"/>
            <x v="267"/>
            <x v="305"/>
            <x v="817"/>
          </reference>
          <reference field="3" count="1" selected="0">
            <x v="47"/>
          </reference>
        </references>
      </pivotArea>
    </format>
    <format dxfId="8">
      <pivotArea dataOnly="0" labelOnly="1" fieldPosition="0">
        <references count="2">
          <reference field="0" count="2">
            <x v="133"/>
            <x v="270"/>
          </reference>
          <reference field="3" count="1" selected="0">
            <x v="48"/>
          </reference>
        </references>
      </pivotArea>
    </format>
    <format dxfId="7">
      <pivotArea dataOnly="0" labelOnly="1" fieldPosition="0">
        <references count="2">
          <reference field="0" count="3">
            <x v="13"/>
            <x v="77"/>
            <x v="294"/>
          </reference>
          <reference field="3" count="1" selected="0">
            <x v="52"/>
          </reference>
        </references>
      </pivotArea>
    </format>
    <format dxfId="6">
      <pivotArea dataOnly="0" labelOnly="1" fieldPosition="0">
        <references count="2">
          <reference field="0" count="13">
            <x v="38"/>
            <x v="39"/>
            <x v="40"/>
            <x v="41"/>
            <x v="42"/>
            <x v="43"/>
            <x v="44"/>
            <x v="52"/>
            <x v="53"/>
            <x v="328"/>
            <x v="329"/>
            <x v="1353"/>
            <x v="1354"/>
          </reference>
          <reference field="3" count="1" selected="0">
            <x v="58"/>
          </reference>
        </references>
      </pivotArea>
    </format>
    <format dxfId="5">
      <pivotArea dataOnly="0" fieldPosition="0">
        <references count="1">
          <reference field="0" count="1">
            <x v="1379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470B577-5796-264E-B5BE-6DB6518DE9F2}" name="Table4" displayName="Table4" ref="A3:M80" totalsRowShown="0">
  <autoFilter ref="A3:M80" xr:uid="{0470B577-5796-264E-B5BE-6DB6518DE9F2}">
    <filterColumn colId="0">
      <filters>
        <filter val="SIPCOC Coconut Water 1l"/>
        <filter val="SIPCOC Ginger Coconut Water 330ml"/>
        <filter val="SIPCOC Lychee Coconut Water 330ml"/>
        <filter val="SIPCOC Passionfruit Coconut Water 330ml"/>
        <filter val="SIPCOC Pineapple Coconut Water 330ml"/>
        <filter val="SIPCOC Watermelon Coconut Water 330ml"/>
      </filters>
    </filterColumn>
  </autoFilter>
  <tableColumns count="13">
    <tableColumn id="1" xr3:uid="{C58CB1F1-291E-2A44-B450-CBA71F4793D3}" name="Item Name"/>
    <tableColumn id="2" xr3:uid="{43135AD9-2BA0-464F-9713-4B2CD400DF15}" name="Item Variation"/>
    <tableColumn id="3" xr3:uid="{0EF51928-70EF-E643-88D6-6694F9A916A6}" name="SKU"/>
    <tableColumn id="4" xr3:uid="{C4D75077-D9F4-4544-BB34-D2BAFA406B3B}" name="Category"/>
    <tableColumn id="5" xr3:uid="{37EA94A0-06A9-4B49-889E-31D304B2C460}" name="Items Sold"/>
    <tableColumn id="6" xr3:uid="{80050551-9D76-1445-A118-04B34B7251E1}" name="Product Sales"/>
    <tableColumn id="7" xr3:uid="{CA4F3F67-4ADB-AB49-B937-55AB3A992F1E}" name="Items Refunded"/>
    <tableColumn id="8" xr3:uid="{BC12FB44-79DD-D147-963B-572C5DB87D20}" name="Refunds"/>
    <tableColumn id="9" xr3:uid="{12FD46BA-E51A-DD43-89BD-73F279EA983C}" name="Discounts &amp; Comps"/>
    <tableColumn id="10" xr3:uid="{AE178841-CBCE-EA43-9622-F129FC714E85}" name="Net Sales"/>
    <tableColumn id="11" xr3:uid="{6E2630ED-4F86-7A44-8E53-0F895A693B6B}" name="Tax"/>
    <tableColumn id="12" xr3:uid="{3FB1158C-1452-2A48-A7E9-10784E2742D2}" name="Gross Sales"/>
    <tableColumn id="13" xr3:uid="{69EE534B-0E93-9345-86EA-64F24F045EEF}" name="Units Sold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C4EEEBA-0F8B-1C49-A731-92FB931C5942}" name="Table5" displayName="Table5" ref="A3:M40" totalsRowShown="0">
  <autoFilter ref="A3:M40" xr:uid="{8C4EEEBA-0F8B-1C49-A731-92FB931C5942}">
    <filterColumn colId="0">
      <filters>
        <filter val="BIONA Pumpernickel Bread 500g"/>
        <filter val="BIONA Rye Bread Sprouted Seeds 500g"/>
        <filter val="BIONA Rye¬†Bread¬†Amaranth¬†Quinoa¬†500g"/>
      </filters>
    </filterColumn>
  </autoFilter>
  <sortState xmlns:xlrd2="http://schemas.microsoft.com/office/spreadsheetml/2017/richdata2" ref="A4:M40">
    <sortCondition descending="1" ref="F6:F40"/>
  </sortState>
  <tableColumns count="13">
    <tableColumn id="1" xr3:uid="{C6F309FA-1E62-E646-A802-65BD71D898D5}" name="Item Name"/>
    <tableColumn id="2" xr3:uid="{660C696A-1124-444F-B7D2-E461A29BA0A5}" name="Item Variation"/>
    <tableColumn id="3" xr3:uid="{331BA41A-0CE7-7846-A009-C2C2920A05D6}" name="SKU"/>
    <tableColumn id="4" xr3:uid="{A69FF565-0230-9F4E-A0E8-D942CE71BBB7}" name="Category"/>
    <tableColumn id="5" xr3:uid="{37AA178B-3392-D24A-9934-749118907AFA}" name="Items Sold"/>
    <tableColumn id="6" xr3:uid="{8919FCD6-7A87-FE41-8476-DD20A9D7B4CB}" name="Product Sales"/>
    <tableColumn id="7" xr3:uid="{195B2190-0A6F-1B4A-B7D7-2F62FF56526E}" name="Items Refunded"/>
    <tableColumn id="8" xr3:uid="{FB47B7C7-89A0-0B4A-9198-F8E4E92B1EA1}" name="Refunds"/>
    <tableColumn id="9" xr3:uid="{4B8B3D1B-3553-7745-9525-AAA5596A83BF}" name="Discounts &amp; Comps"/>
    <tableColumn id="10" xr3:uid="{27483AA6-B046-A349-9F2B-D6C4F5F83F92}" name="Net Sales"/>
    <tableColumn id="11" xr3:uid="{59F2FE92-7355-7540-88E0-0B411839819C}" name="Tax"/>
    <tableColumn id="12" xr3:uid="{17BE5F73-FFB0-3146-BB58-3F03BA001F7E}" name="Gross Sales"/>
    <tableColumn id="13" xr3:uid="{4410270A-0C02-394F-8F66-D7BD214997D7}" name="Units Sold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8BEE1AF-1B55-DF49-A2E6-66B3D09383FB}" name="Table6" displayName="Table6" ref="A3:M7" totalsRowShown="0">
  <autoFilter ref="A3:M7" xr:uid="{88BEE1AF-1B55-DF49-A2E6-66B3D09383FB}"/>
  <tableColumns count="13">
    <tableColumn id="1" xr3:uid="{7DB95A57-E8E6-F340-9F5C-F218804D521B}" name="Item Name"/>
    <tableColumn id="2" xr3:uid="{F8EA3FBE-BE16-A94A-9052-76515C31A433}" name="Item Variation"/>
    <tableColumn id="3" xr3:uid="{F11A0D41-3BFE-764A-8626-2ADF0AF78194}" name="SKU"/>
    <tableColumn id="4" xr3:uid="{1A369537-0DF7-224E-B97B-C95EE94485EB}" name="Category"/>
    <tableColumn id="5" xr3:uid="{8B7BCA98-3280-3341-8DC7-DB7173296B8D}" name="Items Sold"/>
    <tableColumn id="6" xr3:uid="{14BF99DE-3C18-894F-B9DE-FE4298FA3CB8}" name="Product Sales"/>
    <tableColumn id="7" xr3:uid="{F783EF01-DDA1-E347-8A0E-2E1CAA9D4F60}" name="Items Refunded"/>
    <tableColumn id="8" xr3:uid="{B96F30AC-1755-2C4F-94FC-EFB2BDF61CDF}" name="Refunds"/>
    <tableColumn id="9" xr3:uid="{0BA09FDB-0BD3-8B44-9920-FA40E6AB00C5}" name="Discounts &amp; Comps"/>
    <tableColumn id="10" xr3:uid="{420F2BBF-67B8-3A4A-8981-FDF9046CC89E}" name="Net Sales"/>
    <tableColumn id="11" xr3:uid="{563507ED-4E02-694E-A2C6-D1E236C9E131}" name="Tax"/>
    <tableColumn id="12" xr3:uid="{02AFCB38-4A76-9249-B1F1-501B8CA2221B}" name="Gross Sales"/>
    <tableColumn id="13" xr3:uid="{D9427D18-84C7-964C-937E-74239D5595C1}" name="Units Sold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4606C92-0E89-9D4C-9373-02540016E917}" name="Table7" displayName="Table7" ref="A3:M53" totalsRowShown="0">
  <autoFilter ref="A3:M53" xr:uid="{E4606C92-0E89-9D4C-9373-02540016E917}">
    <filterColumn colId="0">
      <filters>
        <filter val="TRUE Choc Mint Protein Bar 63g"/>
        <filter val="TRUE Choc Peanut Protein Bar 63g"/>
        <filter val="TRUE Chocolate Protein Bar 63g"/>
        <filter val="TRUE Cookies &amp; Cream Protein Bar 63g"/>
        <filter val="TRUE Salted Caramel Protein Bar 63g"/>
        <filter val="TRUE Toasted Coconut Protein Bar 63g"/>
      </filters>
    </filterColumn>
  </autoFilter>
  <tableColumns count="13">
    <tableColumn id="1" xr3:uid="{13558339-E83B-FA4A-A816-AFF99499727C}" name="Item Name"/>
    <tableColumn id="2" xr3:uid="{662BAEA1-2E1B-7E4B-92DF-2AA21078A292}" name="Item Variation"/>
    <tableColumn id="3" xr3:uid="{5E10CB19-E6C5-7C41-97C0-3081FE218927}" name="SKU"/>
    <tableColumn id="4" xr3:uid="{2C13B8D7-4C2C-C54A-A475-B384600506C6}" name="Category"/>
    <tableColumn id="5" xr3:uid="{50AA114A-B828-194D-86AF-81EDD25FA2BD}" name="Items Sold"/>
    <tableColumn id="6" xr3:uid="{9366E7C7-33C1-934D-807E-00C10906DA7B}" name="Product Sales"/>
    <tableColumn id="7" xr3:uid="{9190950A-D107-4F45-A30B-7E52C92C4C6E}" name="Items Refunded"/>
    <tableColumn id="8" xr3:uid="{52BD8F69-D59D-A546-AFEE-C28ACDEFF82F}" name="Refunds"/>
    <tableColumn id="9" xr3:uid="{8D7096F7-99E0-B740-91ED-55D94E6C7B81}" name="Discounts &amp; Comps"/>
    <tableColumn id="10" xr3:uid="{6EDECB8D-06BD-9B4A-A316-54864B2C0847}" name="Net Sales"/>
    <tableColumn id="11" xr3:uid="{0E4F2EFD-E396-9848-AF18-4A55498849D2}" name="Tax"/>
    <tableColumn id="12" xr3:uid="{D9947096-3E61-714E-AAD1-563BC92593AF}" name="Gross Sales"/>
    <tableColumn id="13" xr3:uid="{3F3444EA-6CB5-FD47-BA55-AA3CB0C1B7BC}" name="Units Sold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51419C5-A012-6B4B-A665-9A0082D76236}" name="Table1" displayName="Table1" ref="A3:M33" totalsRowShown="0">
  <autoFilter ref="A3:M33" xr:uid="{651419C5-A012-6B4B-A665-9A0082D76236}"/>
  <tableColumns count="13">
    <tableColumn id="1" xr3:uid="{68B8073F-7E2A-3141-A4D0-23B8ACA94538}" name="Item Name"/>
    <tableColumn id="2" xr3:uid="{F3BE63DD-9C41-1F45-8414-1CE2946B1EBA}" name="Item Variation"/>
    <tableColumn id="3" xr3:uid="{96F3DB86-78C4-8F4B-8A3E-CEF8F9F1E84B}" name="SKU"/>
    <tableColumn id="4" xr3:uid="{6EA89CC7-029F-EA4B-97EA-9ACF49D424BC}" name="Category"/>
    <tableColumn id="5" xr3:uid="{F0A38A23-B594-AC49-BBFA-52C93C00C4B3}" name="Items Sold"/>
    <tableColumn id="6" xr3:uid="{4977812D-2310-014F-82A6-DFB64A86FEFF}" name="Product Sales"/>
    <tableColumn id="7" xr3:uid="{D9FC3BDD-5194-584D-A219-59836D0F8C87}" name="Items Refunded"/>
    <tableColumn id="8" xr3:uid="{EC31FEDA-BAA8-5F4F-82FD-7FD74B7CB098}" name="Refunds"/>
    <tableColumn id="9" xr3:uid="{FEE01266-9E0A-714E-B552-A9248F5305F2}" name="Discounts &amp; Comps"/>
    <tableColumn id="10" xr3:uid="{E5D43469-3389-E54A-AD41-3388334FDFDE}" name="Net Sales"/>
    <tableColumn id="11" xr3:uid="{AA543FCF-6780-3644-B00D-49188D9075A1}" name="Tax"/>
    <tableColumn id="12" xr3:uid="{16137C99-112D-324F-8FE5-DBA2B73C9810}" name="Gross Sales"/>
    <tableColumn id="13" xr3:uid="{CFB2D6E8-065E-FE45-A520-050D69DD73F9}" name="Units Sold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B77F315-31A1-5E45-A9B3-D6526AF0570F}" name="Table2" displayName="Table2" ref="A3:M39" totalsRowShown="0">
  <autoFilter ref="A3:M39" xr:uid="{2B77F315-31A1-5E45-A9B3-D6526AF0570F}">
    <filterColumn colId="0">
      <filters>
        <filter val="TRUE Collagen Mixed Berries 300g"/>
        <filter val="TRUE Plant Base French Vanilla Protein Powder 750g"/>
        <filter val="TRUE WPI 90 Chocolate Protein Powder 360g"/>
        <filter val="TRUE WPI 90 French Vanilla Protein Powder 1kg"/>
        <filter val="TRUE WPI 90 French Vanilla Protein Powder 360g"/>
        <filter val="TRUE WPI 90 Natural Protein Powder 1kg"/>
      </filters>
    </filterColumn>
  </autoFilter>
  <tableColumns count="13">
    <tableColumn id="1" xr3:uid="{96D631D0-C995-C547-8A21-D27C33F4651A}" name="Item Name"/>
    <tableColumn id="2" xr3:uid="{8812B485-4181-4D42-8B2E-874D37DA0394}" name="Item Variation"/>
    <tableColumn id="3" xr3:uid="{71F63481-BB15-C245-9B11-E7160104588D}" name="SKU"/>
    <tableColumn id="4" xr3:uid="{C1C6E9F7-DEFF-8248-BDE9-C013AD7A92BF}" name="Category"/>
    <tableColumn id="5" xr3:uid="{466F6634-AFED-2C4C-81B0-D669384203BC}" name="Items Sold"/>
    <tableColumn id="6" xr3:uid="{827D2C3A-4B90-964E-9B89-569D42AA6367}" name="Product Sales"/>
    <tableColumn id="7" xr3:uid="{D4D038F2-C8CD-3A4A-88C6-196DA825D443}" name="Items Refunded"/>
    <tableColumn id="8" xr3:uid="{C67B7DDC-4727-4441-8D41-910786208DD0}" name="Refunds"/>
    <tableColumn id="9" xr3:uid="{A55655EA-1F39-DD46-969F-612F4534B14B}" name="Discounts &amp; Comps"/>
    <tableColumn id="10" xr3:uid="{64C4FE97-827D-3949-A9B8-E92988F7613F}" name="Net Sales"/>
    <tableColumn id="11" xr3:uid="{935F8012-4896-9848-A546-9DF9F35D218B}" name="Tax"/>
    <tableColumn id="12" xr3:uid="{67BF3EB7-2FB2-9041-8177-318B4BD9A774}" name="Gross Sales"/>
    <tableColumn id="13" xr3:uid="{7C5ED8EE-D29C-6E49-AA25-4AAF15E7BCB1}" name="Units Sold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AF4C36E-40C7-AE46-A243-24897E80C6E3}" name="Table3" displayName="Table3" ref="A3:M53" totalsRowShown="0">
  <autoFilter ref="A3:M53" xr:uid="{BAF4C36E-40C7-AE46-A243-24897E80C6E3}">
    <filterColumn colId="0">
      <filters>
        <filter val="LOLO 5 Hazelnut Butter Praline"/>
        <filter val="LOLO 5 Pack Butter Caramel Pecan"/>
        <filter val="LOLO 5 Pack Classic Chewy Caramel"/>
        <filter val="LOLO 5 Pack Peanut Butter Caramel"/>
        <filter val="LOLO Black Cherry Raspberry 30g"/>
        <filter val="LOLO Butter Caramel Pecan 30g"/>
        <filter val="LOLO Classic Chewy Caramel 30g"/>
        <filter val="LOLO Coconut Cashew Choc 30g"/>
        <filter val="LOLO Dark Chocolate Drops"/>
        <filter val="LOLO Dark Peppermint Creme 30g"/>
        <filter val="LOLO Hazelnut Praline 30g"/>
        <filter val="LOLO Mylk Chocolate Drops"/>
        <filter val="LOLO Orange &amp; Almond Truffle 30g"/>
        <filter val="LOLO Peanut Butter Caramel 30g"/>
        <filter val="LOLO Twin Pack Almond Caramel Crunch"/>
        <filter val="LOLO Twin Pack Black Cherry &amp; Raspberry"/>
        <filter val="LOLO Twin Pack Butter Caramel Pecan"/>
        <filter val="LOLO Twin Pack Classic Chewy Caramel"/>
        <filter val="LOLO Twin Pack Coconut Cashew"/>
        <filter val="LOLO Twin Pack Dark Peppermint Creme"/>
        <filter val="LOLO Twin Pack Hazelnut Praline"/>
        <filter val="LOLO Twin Pack Orange &amp; Almond Truffle"/>
        <filter val="LOLO Twin Pack Peanut Butter Caramel"/>
        <filter val="LOLO Twin Pack Wild Rose Ganache"/>
        <filter val="LOLO Wild Rose Ganache 30g"/>
      </filters>
    </filterColumn>
  </autoFilter>
  <tableColumns count="13">
    <tableColumn id="1" xr3:uid="{B7CF7520-CEC3-2B44-B918-82C1FB60D80E}" name="Item Name"/>
    <tableColumn id="2" xr3:uid="{8CF5C808-0054-8D4C-8BBD-1651A5D46A72}" name="Item Variation"/>
    <tableColumn id="3" xr3:uid="{E47F88F2-7628-9B43-867C-51F1A6307FE7}" name="SKU"/>
    <tableColumn id="4" xr3:uid="{DC5796C9-241C-B248-9E1C-0504F4A5CCC6}" name="Category"/>
    <tableColumn id="5" xr3:uid="{47AAFE97-918B-AD4B-A05E-020D44BF1E80}" name="Items Sold"/>
    <tableColumn id="6" xr3:uid="{728B833E-9340-AF4B-8507-4077219EB6E5}" name="Product Sales"/>
    <tableColumn id="7" xr3:uid="{B34A7DB6-320E-E54B-A9FC-C10D36F121D9}" name="Items Refunded"/>
    <tableColumn id="8" xr3:uid="{FC15FCA2-2025-2941-9B03-22872B79DFC2}" name="Refunds"/>
    <tableColumn id="9" xr3:uid="{2174DA98-E12F-0949-A8C5-D0698958C938}" name="Discounts &amp; Comps"/>
    <tableColumn id="10" xr3:uid="{153C1290-283C-E346-858D-2102F1FD6D58}" name="Net Sales"/>
    <tableColumn id="11" xr3:uid="{F5BF3F5C-1308-C947-898B-1CC41D2AB842}" name="Tax"/>
    <tableColumn id="12" xr3:uid="{1AC02C3C-CF9E-334B-B70A-4E4722C79633}" name="Gross Sales"/>
    <tableColumn id="13" xr3:uid="{90150929-1C09-1D4B-B8CE-5AF8B4D46E38}" name="Units Sold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ECFBCD09-7753-8B4A-AB71-CA52EA6DD9E5}" name="Table8" displayName="Table8" ref="A3:M36" totalsRowShown="0">
  <autoFilter ref="A3:M36" xr:uid="{ECFBCD09-7753-8B4A-AB71-CA52EA6DD9E5}"/>
  <tableColumns count="13">
    <tableColumn id="1" xr3:uid="{9D24D17F-5C0E-F047-92BB-9572802F8A13}" name="Item Name"/>
    <tableColumn id="2" xr3:uid="{F5112BC8-775E-0A4E-8AB8-0DE7041A207A}" name="Item Variation"/>
    <tableColumn id="3" xr3:uid="{A05BA993-F1A8-D242-A6FA-6874BB9B015E}" name="SKU"/>
    <tableColumn id="4" xr3:uid="{BFD55DED-25B4-D34A-851C-6BB2A80DA3A1}" name="Category"/>
    <tableColumn id="5" xr3:uid="{4BBD6781-0F25-E84B-B0FB-48BA0525B1ED}" name="Items Sold"/>
    <tableColumn id="6" xr3:uid="{44F5D5C1-25CE-4F46-AFAC-DD078E0CFEB5}" name="Product Sales"/>
    <tableColumn id="7" xr3:uid="{265FC35F-87CB-1447-9148-38190CF4F288}" name="Items Refunded"/>
    <tableColumn id="8" xr3:uid="{2C51CA73-9480-DB49-B84C-D79401705BE9}" name="Refunds"/>
    <tableColumn id="9" xr3:uid="{F7B620BD-3271-0B4C-9012-50840E947920}" name="Discounts &amp; Comps"/>
    <tableColumn id="10" xr3:uid="{468434E4-7FCB-0141-B50F-E733B6F5A070}" name="Net Sales"/>
    <tableColumn id="11" xr3:uid="{2C78FF58-AEC0-BB4B-81E6-9E6EF902D7A7}" name="Tax"/>
    <tableColumn id="12" xr3:uid="{31EC1E23-3358-3848-8898-3041BF19C435}" name="Gross Sales"/>
    <tableColumn id="13" xr3:uid="{2BD6B206-8779-2348-8008-790E157F9437}" name="Units Sold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78BD6355-D333-CE40-8BB9-4510FAE73872}" name="Table9" displayName="Table9" ref="A3:M71" totalsRowShown="0">
  <autoFilter ref="A3:M71" xr:uid="{78BD6355-D333-CE40-8BB9-4510FAE73872}">
    <filterColumn colId="0">
      <filters>
        <filter val="GOODH Berry Schisandra Kombucha 330ml"/>
        <filter val="GOODH Cacao Vanilla Kombucha 330ml"/>
        <filter val="GOODH Ginger Turmeric Kombucha 330ml"/>
        <filter val="GOODH Lemon Myrtle Kombucha 330ml"/>
      </filters>
    </filterColumn>
  </autoFilter>
  <tableColumns count="13">
    <tableColumn id="1" xr3:uid="{1997258B-C602-BD49-BB6C-ED33DF18867C}" name="Item Name"/>
    <tableColumn id="2" xr3:uid="{780C5D45-AB27-0543-BA2B-B180CA2058EE}" name="Item Variation"/>
    <tableColumn id="3" xr3:uid="{A7FF6919-4175-5E43-8D29-635967783D27}" name="SKU"/>
    <tableColumn id="4" xr3:uid="{58AB5C64-07D4-1A4D-8AB3-486668708558}" name="Category"/>
    <tableColumn id="5" xr3:uid="{A60E76AB-2B6E-B94C-B751-4A3C80B9EED5}" name="Items Sold"/>
    <tableColumn id="6" xr3:uid="{983DAEC8-8584-6C4E-800E-24B4D7ACB940}" name="Product Sales"/>
    <tableColumn id="7" xr3:uid="{01B70C16-88C4-8448-97D1-3FA99C961501}" name="Items Refunded"/>
    <tableColumn id="8" xr3:uid="{73A451B0-23A2-5C4D-A622-B1EDFE40DC3A}" name="Refunds"/>
    <tableColumn id="9" xr3:uid="{B5B96FC3-BF36-D141-A346-1FD1F143796B}" name="Discounts &amp; Comps"/>
    <tableColumn id="10" xr3:uid="{79A50459-7A70-9449-A4E1-51A85748CF6E}" name="Net Sales"/>
    <tableColumn id="11" xr3:uid="{FA1DF6B4-7E5B-D64C-BEE6-A34B2154072A}" name="Tax"/>
    <tableColumn id="12" xr3:uid="{A477F077-56B5-734F-B8A5-A86B76F9AAB2}" name="Gross Sales"/>
    <tableColumn id="13" xr3:uid="{ADE3E2F2-48A7-FD44-96D9-EA2BC2AE3E8A}" name="Units Sold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413795E-1539-7D4C-BD7C-F9F0BD12C2A9}" name="Table10" displayName="Table10" ref="A3:M36" totalsRowShown="0">
  <autoFilter ref="A3:M36" xr:uid="{4413795E-1539-7D4C-BD7C-F9F0BD12C2A9}">
    <filterColumn colId="0">
      <filters>
        <filter val="NATURIS Bread Buckwheat GF 680g"/>
        <filter val="NATURIS Bread Corn GF 680g"/>
        <filter val="NATURIS Bread Light Rye 680g"/>
        <filter val="NATURIS Bread Organic Spelt 680g"/>
        <filter val="NATURIS Bread Rice Loaf GF 680g"/>
        <filter val="NATURIS Fruit and Nut Loaf 680g"/>
        <filter val="NATURIS Grain Free GF Bread 680g"/>
        <filter val="NATURIS LF GF Teff Bread 680g"/>
      </filters>
    </filterColumn>
  </autoFilter>
  <tableColumns count="13">
    <tableColumn id="1" xr3:uid="{8FAD8B98-EE22-8F4A-8171-EF0BE6800BEE}" name="Item Name"/>
    <tableColumn id="2" xr3:uid="{45A32DA0-FAC2-5149-A458-F569D76753BB}" name="Item Variation"/>
    <tableColumn id="3" xr3:uid="{6D2D5BB5-FF9C-C045-A0B5-E59FF26E4215}" name="SKU"/>
    <tableColumn id="4" xr3:uid="{A523310A-3AC8-AB4E-A86A-5ACB8A125F30}" name="Category"/>
    <tableColumn id="5" xr3:uid="{92858618-3622-7241-8FE3-7DCEA14A4FBC}" name="Items Sold"/>
    <tableColumn id="6" xr3:uid="{79934D28-4D55-0141-98A5-347C72E8A27E}" name="Product Sales"/>
    <tableColumn id="7" xr3:uid="{169AD725-3A19-5148-88E6-459EAE5AE891}" name="Items Refunded"/>
    <tableColumn id="8" xr3:uid="{C73F9B64-F550-5E44-8BDB-48B1A84E323D}" name="Refunds"/>
    <tableColumn id="9" xr3:uid="{F422339F-96B4-0D4C-B5A1-704CF14C9C4F}" name="Discounts &amp; Comps"/>
    <tableColumn id="10" xr3:uid="{06363942-C3D9-014F-9D0C-5094E1D878CA}" name="Net Sales"/>
    <tableColumn id="11" xr3:uid="{1530D773-7269-9547-9C17-E75DEFF30611}" name="Tax"/>
    <tableColumn id="12" xr3:uid="{D09A7AD5-D309-3643-9B91-AF60769DFE13}" name="Gross Sales"/>
    <tableColumn id="13" xr3:uid="{00035AD7-9E0B-084C-874F-E3797C02ED79}" name="Units Sold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24A975EC-9DBA-C444-8EAC-5815479DB5A9}" name="Table11" displayName="Table11" ref="A3:M69" totalsRowShown="0">
  <autoFilter ref="A3:M69" xr:uid="{24A975EC-9DBA-C444-8EAC-5815479DB5A9}"/>
  <tableColumns count="13">
    <tableColumn id="1" xr3:uid="{4AA07692-E09A-654F-8ACA-D2651C9E88AF}" name="Item Name"/>
    <tableColumn id="2" xr3:uid="{A938EE11-6F12-7443-A313-A48B7FED8DDD}" name="Item Variation"/>
    <tableColumn id="3" xr3:uid="{504D2C75-FE7A-934B-AF03-A3A7BC0DB300}" name="SKU"/>
    <tableColumn id="4" xr3:uid="{E7E3F839-5AC8-DF41-9D6E-353E69CECCDB}" name="Category"/>
    <tableColumn id="5" xr3:uid="{89D166B5-9FD7-8B4C-8C6D-780BA4CA9A8C}" name="Items Sold"/>
    <tableColumn id="6" xr3:uid="{35CDD074-9774-2945-A5CD-86C100F78673}" name="Product Sales"/>
    <tableColumn id="7" xr3:uid="{3FFF98FF-22A5-F74B-82A6-57E38E765A76}" name="Items Refunded"/>
    <tableColumn id="8" xr3:uid="{AAB6A1EA-77BF-FD4B-908D-DB52FFE49286}" name="Refunds"/>
    <tableColumn id="9" xr3:uid="{194925FB-49E2-5647-917D-7042EDADFF9A}" name="Discounts &amp; Comps"/>
    <tableColumn id="10" xr3:uid="{A498D303-8F6A-CF4B-88E2-2714D8DACBBE}" name="Net Sales"/>
    <tableColumn id="11" xr3:uid="{75CF8F09-1F5C-CD4A-85AE-7E5D9DCDD642}" name="Tax"/>
    <tableColumn id="12" xr3:uid="{D5504BF6-E6D3-3446-ABA4-C4A31AA5A239}" name="Gross Sales"/>
    <tableColumn id="13" xr3:uid="{8EBC47ED-9208-3644-8A83-095CFA5DF305}" name="Units Sold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1437E8-81C7-2E49-B8CB-4DE6D85EFE74}">
  <dimension ref="A1:M80"/>
  <sheetViews>
    <sheetView workbookViewId="0">
      <selection activeCell="J1" sqref="J1:J1048576"/>
    </sheetView>
  </sheetViews>
  <sheetFormatPr baseColWidth="10" defaultRowHeight="16" x14ac:dyDescent="0.2"/>
  <cols>
    <col min="1" max="1" width="49.6640625" bestFit="1" customWidth="1"/>
    <col min="2" max="2" width="15.33203125" bestFit="1" customWidth="1"/>
    <col min="3" max="3" width="12.1640625" bestFit="1" customWidth="1"/>
    <col min="4" max="4" width="11.1640625" bestFit="1" customWidth="1"/>
    <col min="5" max="5" width="12.33203125" bestFit="1" customWidth="1"/>
    <col min="6" max="6" width="15" bestFit="1" customWidth="1"/>
    <col min="7" max="7" width="16.6640625" bestFit="1" customWidth="1"/>
    <col min="8" max="8" width="11" bestFit="1" customWidth="1"/>
    <col min="9" max="9" width="20.1640625" bestFit="1" customWidth="1"/>
    <col min="10" max="10" width="11.5" bestFit="1" customWidth="1"/>
    <col min="11" max="11" width="11" bestFit="1" customWidth="1"/>
    <col min="12" max="12" width="13.5" bestFit="1" customWidth="1"/>
    <col min="13" max="13" width="11.83203125" bestFit="1" customWidth="1"/>
  </cols>
  <sheetData>
    <row r="1" spans="1:13" x14ac:dyDescent="0.2">
      <c r="A1" s="4" t="s">
        <v>728</v>
      </c>
    </row>
    <row r="3" spans="1:13" x14ac:dyDescent="0.2">
      <c r="A3" t="s">
        <v>0</v>
      </c>
      <c r="B3" t="s">
        <v>1</v>
      </c>
      <c r="C3" t="s">
        <v>2</v>
      </c>
      <c r="D3" t="s">
        <v>3</v>
      </c>
      <c r="E3" t="s">
        <v>4</v>
      </c>
      <c r="F3" t="s">
        <v>5</v>
      </c>
      <c r="G3" t="s">
        <v>6</v>
      </c>
      <c r="H3" t="s">
        <v>7</v>
      </c>
      <c r="I3" t="s">
        <v>8</v>
      </c>
      <c r="J3" t="s">
        <v>9</v>
      </c>
      <c r="K3" t="s">
        <v>10</v>
      </c>
      <c r="L3" t="s">
        <v>11</v>
      </c>
      <c r="M3" t="s">
        <v>12</v>
      </c>
    </row>
    <row r="4" spans="1:13" hidden="1" x14ac:dyDescent="0.2">
      <c r="A4" t="s">
        <v>545</v>
      </c>
      <c r="B4" t="s">
        <v>14</v>
      </c>
      <c r="C4">
        <v>2099000</v>
      </c>
      <c r="D4" t="s">
        <v>101</v>
      </c>
      <c r="E4">
        <v>1</v>
      </c>
      <c r="F4">
        <v>5.9</v>
      </c>
      <c r="G4">
        <v>0</v>
      </c>
      <c r="H4">
        <v>0</v>
      </c>
      <c r="I4">
        <v>0</v>
      </c>
      <c r="J4">
        <v>5.9</v>
      </c>
      <c r="K4">
        <v>0.6</v>
      </c>
      <c r="L4">
        <v>6.5</v>
      </c>
      <c r="M4">
        <v>1</v>
      </c>
    </row>
    <row r="5" spans="1:13" hidden="1" x14ac:dyDescent="0.2">
      <c r="A5" t="s">
        <v>544</v>
      </c>
      <c r="B5" t="s">
        <v>14</v>
      </c>
      <c r="C5">
        <v>9369900080750</v>
      </c>
      <c r="D5" t="s">
        <v>101</v>
      </c>
      <c r="E5">
        <v>1</v>
      </c>
      <c r="F5">
        <v>6.03</v>
      </c>
      <c r="G5">
        <v>0</v>
      </c>
      <c r="H5">
        <v>0</v>
      </c>
      <c r="I5">
        <v>-1.3</v>
      </c>
      <c r="J5">
        <v>4.7300000000000004</v>
      </c>
      <c r="K5">
        <v>0.47</v>
      </c>
      <c r="L5">
        <v>5.2</v>
      </c>
      <c r="M5">
        <v>1</v>
      </c>
    </row>
    <row r="6" spans="1:13" hidden="1" x14ac:dyDescent="0.2">
      <c r="A6" t="s">
        <v>285</v>
      </c>
      <c r="B6" t="s">
        <v>14</v>
      </c>
      <c r="C6">
        <v>9369998352142</v>
      </c>
      <c r="D6" t="s">
        <v>101</v>
      </c>
      <c r="E6">
        <v>2</v>
      </c>
      <c r="F6">
        <v>11.8</v>
      </c>
      <c r="G6">
        <v>0</v>
      </c>
      <c r="H6">
        <v>0</v>
      </c>
      <c r="I6">
        <v>0</v>
      </c>
      <c r="J6">
        <v>11.8</v>
      </c>
      <c r="K6">
        <v>1.2</v>
      </c>
      <c r="L6">
        <v>13</v>
      </c>
      <c r="M6">
        <v>2</v>
      </c>
    </row>
    <row r="7" spans="1:13" hidden="1" x14ac:dyDescent="0.2">
      <c r="A7" t="s">
        <v>373</v>
      </c>
      <c r="B7" t="s">
        <v>14</v>
      </c>
      <c r="C7">
        <v>9369998439034</v>
      </c>
      <c r="D7" t="s">
        <v>101</v>
      </c>
      <c r="E7">
        <v>4</v>
      </c>
      <c r="F7">
        <v>23.72</v>
      </c>
      <c r="G7">
        <v>0</v>
      </c>
      <c r="H7">
        <v>0</v>
      </c>
      <c r="I7">
        <v>-1.3</v>
      </c>
      <c r="J7">
        <v>22.42</v>
      </c>
      <c r="K7">
        <v>2.2799999999999998</v>
      </c>
      <c r="L7">
        <v>24.7</v>
      </c>
      <c r="M7">
        <v>4</v>
      </c>
    </row>
    <row r="8" spans="1:13" hidden="1" x14ac:dyDescent="0.2">
      <c r="A8" t="s">
        <v>114</v>
      </c>
      <c r="B8" t="s">
        <v>14</v>
      </c>
      <c r="C8">
        <v>8851013764494</v>
      </c>
      <c r="D8" t="s">
        <v>101</v>
      </c>
      <c r="E8">
        <v>4</v>
      </c>
      <c r="F8">
        <v>22.6</v>
      </c>
      <c r="G8">
        <v>0</v>
      </c>
      <c r="H8">
        <v>0</v>
      </c>
      <c r="I8">
        <v>0</v>
      </c>
      <c r="J8">
        <v>22.6</v>
      </c>
      <c r="K8">
        <v>0</v>
      </c>
      <c r="L8">
        <v>22.6</v>
      </c>
      <c r="M8">
        <v>4</v>
      </c>
    </row>
    <row r="9" spans="1:13" x14ac:dyDescent="0.2">
      <c r="A9" t="s">
        <v>468</v>
      </c>
      <c r="B9" t="s">
        <v>14</v>
      </c>
      <c r="C9">
        <v>9353626000260</v>
      </c>
      <c r="D9" t="s">
        <v>101</v>
      </c>
      <c r="E9">
        <v>5</v>
      </c>
      <c r="F9">
        <v>19.5</v>
      </c>
      <c r="G9">
        <v>0</v>
      </c>
      <c r="H9">
        <v>0</v>
      </c>
      <c r="I9">
        <v>0</v>
      </c>
      <c r="J9">
        <v>19.5</v>
      </c>
      <c r="K9">
        <v>0</v>
      </c>
      <c r="L9">
        <v>19.5</v>
      </c>
      <c r="M9">
        <v>5</v>
      </c>
    </row>
    <row r="10" spans="1:13" x14ac:dyDescent="0.2">
      <c r="A10" t="s">
        <v>467</v>
      </c>
      <c r="B10" t="s">
        <v>14</v>
      </c>
      <c r="C10">
        <v>9353626000246</v>
      </c>
      <c r="D10" t="s">
        <v>101</v>
      </c>
      <c r="E10">
        <v>4</v>
      </c>
      <c r="F10">
        <v>15.6</v>
      </c>
      <c r="G10">
        <v>0</v>
      </c>
      <c r="H10">
        <v>0</v>
      </c>
      <c r="I10">
        <v>0</v>
      </c>
      <c r="J10">
        <v>15.6</v>
      </c>
      <c r="K10">
        <v>0</v>
      </c>
      <c r="L10">
        <v>15.6</v>
      </c>
      <c r="M10">
        <v>4</v>
      </c>
    </row>
    <row r="11" spans="1:13" x14ac:dyDescent="0.2">
      <c r="A11" t="s">
        <v>466</v>
      </c>
      <c r="B11" t="s">
        <v>14</v>
      </c>
      <c r="C11">
        <v>9353626000215</v>
      </c>
      <c r="D11" t="s">
        <v>101</v>
      </c>
      <c r="E11">
        <v>4</v>
      </c>
      <c r="F11">
        <v>15.6</v>
      </c>
      <c r="G11">
        <v>0</v>
      </c>
      <c r="H11">
        <v>0</v>
      </c>
      <c r="I11">
        <v>0</v>
      </c>
      <c r="J11">
        <v>15.6</v>
      </c>
      <c r="K11">
        <v>0</v>
      </c>
      <c r="L11">
        <v>15.6</v>
      </c>
      <c r="M11">
        <v>4</v>
      </c>
    </row>
    <row r="12" spans="1:13" x14ac:dyDescent="0.2">
      <c r="A12" t="s">
        <v>465</v>
      </c>
      <c r="B12" t="s">
        <v>14</v>
      </c>
      <c r="C12">
        <v>9353626000192</v>
      </c>
      <c r="D12" t="s">
        <v>101</v>
      </c>
      <c r="E12">
        <v>3</v>
      </c>
      <c r="F12">
        <v>11.7</v>
      </c>
      <c r="G12">
        <v>0</v>
      </c>
      <c r="H12">
        <v>0</v>
      </c>
      <c r="I12">
        <v>0</v>
      </c>
      <c r="J12">
        <v>11.7</v>
      </c>
      <c r="K12">
        <v>0</v>
      </c>
      <c r="L12">
        <v>11.7</v>
      </c>
      <c r="M12">
        <v>3</v>
      </c>
    </row>
    <row r="13" spans="1:13" x14ac:dyDescent="0.2">
      <c r="A13" t="s">
        <v>464</v>
      </c>
      <c r="B13" t="s">
        <v>14</v>
      </c>
      <c r="C13">
        <v>9353626000178</v>
      </c>
      <c r="D13" t="s">
        <v>101</v>
      </c>
      <c r="E13">
        <v>2</v>
      </c>
      <c r="F13">
        <v>7.8</v>
      </c>
      <c r="G13">
        <v>0</v>
      </c>
      <c r="H13">
        <v>0</v>
      </c>
      <c r="I13">
        <v>0</v>
      </c>
      <c r="J13">
        <v>7.8</v>
      </c>
      <c r="K13">
        <v>0</v>
      </c>
      <c r="L13">
        <v>7.8</v>
      </c>
      <c r="M13">
        <v>2</v>
      </c>
    </row>
    <row r="14" spans="1:13" x14ac:dyDescent="0.2">
      <c r="A14" t="s">
        <v>463</v>
      </c>
      <c r="B14" t="s">
        <v>14</v>
      </c>
      <c r="C14">
        <v>9353626000130</v>
      </c>
      <c r="D14" t="s">
        <v>101</v>
      </c>
      <c r="E14">
        <v>19</v>
      </c>
      <c r="F14">
        <v>124.45</v>
      </c>
      <c r="G14">
        <v>0</v>
      </c>
      <c r="H14">
        <v>0</v>
      </c>
      <c r="I14">
        <v>-98.25</v>
      </c>
      <c r="J14">
        <v>26.2</v>
      </c>
      <c r="K14">
        <v>0</v>
      </c>
      <c r="L14">
        <v>26.2</v>
      </c>
      <c r="M14">
        <v>19</v>
      </c>
    </row>
    <row r="15" spans="1:13" hidden="1" x14ac:dyDescent="0.2">
      <c r="A15" t="s">
        <v>661</v>
      </c>
      <c r="B15" t="s">
        <v>14</v>
      </c>
      <c r="C15">
        <v>9421901214203</v>
      </c>
      <c r="D15" t="s">
        <v>101</v>
      </c>
      <c r="E15">
        <v>1</v>
      </c>
      <c r="F15">
        <v>5.27</v>
      </c>
      <c r="G15">
        <v>0</v>
      </c>
      <c r="H15">
        <v>0</v>
      </c>
      <c r="I15">
        <v>0</v>
      </c>
      <c r="J15">
        <v>5.27</v>
      </c>
      <c r="K15">
        <v>0.53</v>
      </c>
      <c r="L15">
        <v>5.8</v>
      </c>
      <c r="M15">
        <v>1</v>
      </c>
    </row>
    <row r="16" spans="1:13" hidden="1" x14ac:dyDescent="0.2">
      <c r="A16" t="s">
        <v>372</v>
      </c>
      <c r="B16" t="s">
        <v>14</v>
      </c>
      <c r="C16">
        <v>9421901214210</v>
      </c>
      <c r="D16" t="s">
        <v>101</v>
      </c>
      <c r="E16">
        <v>4</v>
      </c>
      <c r="F16">
        <v>18.18</v>
      </c>
      <c r="G16">
        <v>0</v>
      </c>
      <c r="H16">
        <v>0</v>
      </c>
      <c r="I16">
        <v>-2.08</v>
      </c>
      <c r="J16">
        <v>16.100000000000001</v>
      </c>
      <c r="K16">
        <v>1.62</v>
      </c>
      <c r="L16">
        <v>17.72</v>
      </c>
      <c r="M16">
        <v>4</v>
      </c>
    </row>
    <row r="17" spans="1:13" hidden="1" x14ac:dyDescent="0.2">
      <c r="A17" t="s">
        <v>312</v>
      </c>
      <c r="B17" t="s">
        <v>14</v>
      </c>
      <c r="C17">
        <v>9421901214128</v>
      </c>
      <c r="D17" t="s">
        <v>101</v>
      </c>
      <c r="E17">
        <v>4</v>
      </c>
      <c r="F17">
        <v>23.2</v>
      </c>
      <c r="G17">
        <v>0</v>
      </c>
      <c r="H17">
        <v>0</v>
      </c>
      <c r="I17">
        <v>0</v>
      </c>
      <c r="J17">
        <v>23.2</v>
      </c>
      <c r="K17">
        <v>0</v>
      </c>
      <c r="L17">
        <v>23.2</v>
      </c>
      <c r="M17">
        <v>4</v>
      </c>
    </row>
    <row r="18" spans="1:13" hidden="1" x14ac:dyDescent="0.2">
      <c r="A18" t="s">
        <v>298</v>
      </c>
      <c r="B18" t="s">
        <v>14</v>
      </c>
      <c r="C18">
        <v>9421901214302</v>
      </c>
      <c r="D18" t="s">
        <v>101</v>
      </c>
      <c r="E18">
        <v>2</v>
      </c>
      <c r="F18">
        <v>13.8</v>
      </c>
      <c r="G18">
        <v>0</v>
      </c>
      <c r="H18">
        <v>0</v>
      </c>
      <c r="I18">
        <v>0</v>
      </c>
      <c r="J18">
        <v>13.8</v>
      </c>
      <c r="K18">
        <v>0</v>
      </c>
      <c r="L18">
        <v>13.8</v>
      </c>
      <c r="M18">
        <v>2</v>
      </c>
    </row>
    <row r="19" spans="1:13" hidden="1" x14ac:dyDescent="0.2">
      <c r="A19" t="s">
        <v>371</v>
      </c>
      <c r="B19" t="s">
        <v>14</v>
      </c>
      <c r="C19">
        <v>9421901214319</v>
      </c>
      <c r="D19" t="s">
        <v>101</v>
      </c>
      <c r="E19">
        <v>3</v>
      </c>
      <c r="F19">
        <v>20.7</v>
      </c>
      <c r="G19">
        <v>0</v>
      </c>
      <c r="H19">
        <v>0</v>
      </c>
      <c r="I19">
        <v>-2.64</v>
      </c>
      <c r="J19">
        <v>18.059999999999999</v>
      </c>
      <c r="K19">
        <v>0</v>
      </c>
      <c r="L19">
        <v>18.059999999999999</v>
      </c>
      <c r="M19">
        <v>3</v>
      </c>
    </row>
    <row r="20" spans="1:13" hidden="1" x14ac:dyDescent="0.2">
      <c r="A20" t="s">
        <v>311</v>
      </c>
      <c r="B20" t="s">
        <v>14</v>
      </c>
      <c r="C20">
        <v>5060847270047</v>
      </c>
      <c r="D20" t="s">
        <v>101</v>
      </c>
      <c r="E20">
        <v>1</v>
      </c>
      <c r="F20">
        <v>12.67</v>
      </c>
      <c r="G20">
        <v>0</v>
      </c>
      <c r="H20">
        <v>0</v>
      </c>
      <c r="I20">
        <v>0</v>
      </c>
      <c r="J20">
        <v>12.67</v>
      </c>
      <c r="K20">
        <v>1.28</v>
      </c>
      <c r="L20">
        <v>13.95</v>
      </c>
      <c r="M20">
        <v>1</v>
      </c>
    </row>
    <row r="21" spans="1:13" hidden="1" x14ac:dyDescent="0.2">
      <c r="A21" t="s">
        <v>660</v>
      </c>
      <c r="B21" t="s">
        <v>14</v>
      </c>
      <c r="C21">
        <v>5060847270009</v>
      </c>
      <c r="D21" t="s">
        <v>101</v>
      </c>
      <c r="E21">
        <v>1</v>
      </c>
      <c r="F21">
        <v>12.67</v>
      </c>
      <c r="G21">
        <v>0</v>
      </c>
      <c r="H21">
        <v>0</v>
      </c>
      <c r="I21">
        <v>0</v>
      </c>
      <c r="J21">
        <v>12.67</v>
      </c>
      <c r="K21">
        <v>1.28</v>
      </c>
      <c r="L21">
        <v>13.95</v>
      </c>
      <c r="M21">
        <v>1</v>
      </c>
    </row>
    <row r="22" spans="1:13" hidden="1" x14ac:dyDescent="0.2">
      <c r="A22" t="s">
        <v>659</v>
      </c>
      <c r="B22" t="s">
        <v>14</v>
      </c>
      <c r="C22">
        <v>754523531380</v>
      </c>
      <c r="D22" t="s">
        <v>101</v>
      </c>
      <c r="E22">
        <v>1</v>
      </c>
      <c r="F22">
        <v>5.95</v>
      </c>
      <c r="G22">
        <v>0</v>
      </c>
      <c r="H22">
        <v>0</v>
      </c>
      <c r="I22">
        <v>0</v>
      </c>
      <c r="J22">
        <v>5.95</v>
      </c>
      <c r="K22">
        <v>0</v>
      </c>
      <c r="L22">
        <v>5.95</v>
      </c>
      <c r="M22">
        <v>1</v>
      </c>
    </row>
    <row r="23" spans="1:13" hidden="1" x14ac:dyDescent="0.2">
      <c r="A23" t="s">
        <v>658</v>
      </c>
      <c r="B23" t="s">
        <v>14</v>
      </c>
      <c r="C23">
        <v>9359505000680</v>
      </c>
      <c r="D23" t="s">
        <v>101</v>
      </c>
      <c r="E23">
        <v>1</v>
      </c>
      <c r="F23">
        <v>5.9</v>
      </c>
      <c r="G23">
        <v>0</v>
      </c>
      <c r="H23">
        <v>0</v>
      </c>
      <c r="I23">
        <v>0</v>
      </c>
      <c r="J23">
        <v>5.9</v>
      </c>
      <c r="K23">
        <v>0.6</v>
      </c>
      <c r="L23">
        <v>6.5</v>
      </c>
      <c r="M23">
        <v>1</v>
      </c>
    </row>
    <row r="24" spans="1:13" hidden="1" x14ac:dyDescent="0.2">
      <c r="A24" t="s">
        <v>657</v>
      </c>
      <c r="B24" t="s">
        <v>14</v>
      </c>
      <c r="C24">
        <v>725806350899</v>
      </c>
      <c r="D24" t="s">
        <v>101</v>
      </c>
      <c r="E24">
        <v>1</v>
      </c>
      <c r="F24">
        <v>5.9</v>
      </c>
      <c r="G24">
        <v>0</v>
      </c>
      <c r="H24">
        <v>0</v>
      </c>
      <c r="I24">
        <v>0</v>
      </c>
      <c r="J24">
        <v>5.9</v>
      </c>
      <c r="K24">
        <v>0.6</v>
      </c>
      <c r="L24">
        <v>6.5</v>
      </c>
      <c r="M24">
        <v>1</v>
      </c>
    </row>
    <row r="25" spans="1:13" hidden="1" x14ac:dyDescent="0.2">
      <c r="A25" t="s">
        <v>656</v>
      </c>
      <c r="B25" t="s">
        <v>14</v>
      </c>
      <c r="C25">
        <v>9359505000697</v>
      </c>
      <c r="D25" t="s">
        <v>101</v>
      </c>
      <c r="E25">
        <v>1</v>
      </c>
      <c r="F25">
        <v>5.9</v>
      </c>
      <c r="G25">
        <v>0</v>
      </c>
      <c r="H25">
        <v>0</v>
      </c>
      <c r="I25">
        <v>0</v>
      </c>
      <c r="J25">
        <v>5.9</v>
      </c>
      <c r="K25">
        <v>0.6</v>
      </c>
      <c r="L25">
        <v>6.5</v>
      </c>
      <c r="M25">
        <v>1</v>
      </c>
    </row>
    <row r="26" spans="1:13" hidden="1" x14ac:dyDescent="0.2">
      <c r="A26" t="s">
        <v>348</v>
      </c>
      <c r="B26" t="s">
        <v>14</v>
      </c>
      <c r="C26">
        <v>9359084000385</v>
      </c>
      <c r="D26" t="s">
        <v>101</v>
      </c>
      <c r="E26">
        <v>1</v>
      </c>
      <c r="F26">
        <v>4.08</v>
      </c>
      <c r="G26">
        <v>0</v>
      </c>
      <c r="H26">
        <v>0</v>
      </c>
      <c r="I26">
        <v>0</v>
      </c>
      <c r="J26">
        <v>4.08</v>
      </c>
      <c r="K26">
        <v>0.42</v>
      </c>
      <c r="L26">
        <v>4.5</v>
      </c>
      <c r="M26">
        <v>1</v>
      </c>
    </row>
    <row r="27" spans="1:13" hidden="1" x14ac:dyDescent="0.2">
      <c r="A27" t="s">
        <v>543</v>
      </c>
      <c r="B27" t="s">
        <v>14</v>
      </c>
      <c r="C27">
        <v>9359084000170</v>
      </c>
      <c r="D27" t="s">
        <v>101</v>
      </c>
      <c r="E27">
        <v>3</v>
      </c>
      <c r="F27">
        <v>11.16</v>
      </c>
      <c r="G27">
        <v>0</v>
      </c>
      <c r="H27">
        <v>0</v>
      </c>
      <c r="I27">
        <v>0</v>
      </c>
      <c r="J27">
        <v>11.16</v>
      </c>
      <c r="K27">
        <v>1.1399999999999999</v>
      </c>
      <c r="L27">
        <v>12.3</v>
      </c>
      <c r="M27">
        <v>3</v>
      </c>
    </row>
    <row r="28" spans="1:13" hidden="1" x14ac:dyDescent="0.2">
      <c r="A28" t="s">
        <v>347</v>
      </c>
      <c r="B28" t="s">
        <v>14</v>
      </c>
      <c r="C28">
        <v>9359084000156</v>
      </c>
      <c r="D28" t="s">
        <v>101</v>
      </c>
      <c r="E28">
        <v>7</v>
      </c>
      <c r="F28">
        <v>26.06</v>
      </c>
      <c r="G28">
        <v>0</v>
      </c>
      <c r="H28">
        <v>0</v>
      </c>
      <c r="I28">
        <v>0</v>
      </c>
      <c r="J28">
        <v>26.06</v>
      </c>
      <c r="K28">
        <v>2.64</v>
      </c>
      <c r="L28">
        <v>28.7</v>
      </c>
      <c r="M28">
        <v>7</v>
      </c>
    </row>
    <row r="29" spans="1:13" hidden="1" x14ac:dyDescent="0.2">
      <c r="A29" t="s">
        <v>462</v>
      </c>
      <c r="B29" t="s">
        <v>14</v>
      </c>
      <c r="C29">
        <v>9369998348640</v>
      </c>
      <c r="D29" t="s">
        <v>101</v>
      </c>
      <c r="E29">
        <v>9</v>
      </c>
      <c r="F29">
        <v>55.28</v>
      </c>
      <c r="G29">
        <v>0</v>
      </c>
      <c r="H29">
        <v>0</v>
      </c>
      <c r="I29">
        <v>-1.1599999999999999</v>
      </c>
      <c r="J29">
        <v>54.12</v>
      </c>
      <c r="K29">
        <v>5.47</v>
      </c>
      <c r="L29">
        <v>59.59</v>
      </c>
      <c r="M29">
        <v>9</v>
      </c>
    </row>
    <row r="30" spans="1:13" hidden="1" x14ac:dyDescent="0.2">
      <c r="A30" t="s">
        <v>542</v>
      </c>
      <c r="B30" t="s">
        <v>14</v>
      </c>
      <c r="C30">
        <v>9309001147037</v>
      </c>
      <c r="D30" t="s">
        <v>101</v>
      </c>
      <c r="E30">
        <v>3</v>
      </c>
      <c r="F30">
        <v>18.39</v>
      </c>
      <c r="G30">
        <v>0</v>
      </c>
      <c r="H30">
        <v>0</v>
      </c>
      <c r="I30">
        <v>0</v>
      </c>
      <c r="J30">
        <v>18.39</v>
      </c>
      <c r="K30">
        <v>1.86</v>
      </c>
      <c r="L30">
        <v>20.25</v>
      </c>
      <c r="M30">
        <v>3</v>
      </c>
    </row>
    <row r="31" spans="1:13" hidden="1" x14ac:dyDescent="0.2">
      <c r="A31" t="s">
        <v>541</v>
      </c>
      <c r="B31" t="s">
        <v>14</v>
      </c>
      <c r="C31">
        <v>9369998203819</v>
      </c>
      <c r="D31" t="s">
        <v>101</v>
      </c>
      <c r="E31">
        <v>7</v>
      </c>
      <c r="F31">
        <v>43.02</v>
      </c>
      <c r="G31">
        <v>0</v>
      </c>
      <c r="H31">
        <v>0</v>
      </c>
      <c r="I31">
        <v>-1.17</v>
      </c>
      <c r="J31">
        <v>41.85</v>
      </c>
      <c r="K31">
        <v>4.2300000000000004</v>
      </c>
      <c r="L31">
        <v>46.08</v>
      </c>
      <c r="M31">
        <v>7</v>
      </c>
    </row>
    <row r="32" spans="1:13" hidden="1" x14ac:dyDescent="0.2">
      <c r="A32" t="s">
        <v>540</v>
      </c>
      <c r="B32" t="s">
        <v>14</v>
      </c>
      <c r="C32">
        <v>9369998265565</v>
      </c>
      <c r="D32" t="s">
        <v>101</v>
      </c>
      <c r="E32">
        <v>2</v>
      </c>
      <c r="F32">
        <v>12.26</v>
      </c>
      <c r="G32">
        <v>0</v>
      </c>
      <c r="H32">
        <v>0</v>
      </c>
      <c r="I32">
        <v>0</v>
      </c>
      <c r="J32">
        <v>12.26</v>
      </c>
      <c r="K32">
        <v>1.24</v>
      </c>
      <c r="L32">
        <v>13.5</v>
      </c>
      <c r="M32">
        <v>2</v>
      </c>
    </row>
    <row r="33" spans="1:13" hidden="1" x14ac:dyDescent="0.2">
      <c r="A33" t="s">
        <v>655</v>
      </c>
      <c r="B33" t="s">
        <v>14</v>
      </c>
      <c r="C33">
        <v>9369999341770</v>
      </c>
      <c r="D33" t="s">
        <v>101</v>
      </c>
      <c r="E33">
        <v>3</v>
      </c>
      <c r="F33">
        <v>17.98</v>
      </c>
      <c r="G33">
        <v>0</v>
      </c>
      <c r="H33">
        <v>0</v>
      </c>
      <c r="I33">
        <v>0</v>
      </c>
      <c r="J33">
        <v>17.98</v>
      </c>
      <c r="K33">
        <v>1.82</v>
      </c>
      <c r="L33">
        <v>19.8</v>
      </c>
      <c r="M33">
        <v>3</v>
      </c>
    </row>
    <row r="34" spans="1:13" hidden="1" x14ac:dyDescent="0.2">
      <c r="A34" t="s">
        <v>654</v>
      </c>
      <c r="B34" t="s">
        <v>14</v>
      </c>
      <c r="C34">
        <v>9369998503803</v>
      </c>
      <c r="D34" t="s">
        <v>101</v>
      </c>
      <c r="E34">
        <v>2</v>
      </c>
      <c r="F34">
        <v>11.99</v>
      </c>
      <c r="G34">
        <v>0</v>
      </c>
      <c r="H34">
        <v>0</v>
      </c>
      <c r="I34">
        <v>0</v>
      </c>
      <c r="J34">
        <v>11.99</v>
      </c>
      <c r="K34">
        <v>1.21</v>
      </c>
      <c r="L34">
        <v>13.2</v>
      </c>
      <c r="M34">
        <v>2</v>
      </c>
    </row>
    <row r="35" spans="1:13" hidden="1" x14ac:dyDescent="0.2">
      <c r="A35" t="s">
        <v>539</v>
      </c>
      <c r="B35" t="s">
        <v>14</v>
      </c>
      <c r="C35">
        <v>627843602705</v>
      </c>
      <c r="D35" t="s">
        <v>101</v>
      </c>
      <c r="E35">
        <v>1</v>
      </c>
      <c r="F35">
        <v>8.4499999999999993</v>
      </c>
      <c r="G35">
        <v>0</v>
      </c>
      <c r="H35">
        <v>0</v>
      </c>
      <c r="I35">
        <v>0</v>
      </c>
      <c r="J35">
        <v>8.4499999999999993</v>
      </c>
      <c r="K35">
        <v>0</v>
      </c>
      <c r="L35">
        <v>8.4499999999999993</v>
      </c>
      <c r="M35">
        <v>1</v>
      </c>
    </row>
    <row r="36" spans="1:13" hidden="1" x14ac:dyDescent="0.2">
      <c r="A36" t="s">
        <v>113</v>
      </c>
      <c r="B36" t="s">
        <v>14</v>
      </c>
      <c r="C36">
        <v>9359663000119</v>
      </c>
      <c r="D36" t="s">
        <v>101</v>
      </c>
      <c r="E36">
        <v>2</v>
      </c>
      <c r="F36">
        <v>11.9</v>
      </c>
      <c r="G36">
        <v>0</v>
      </c>
      <c r="H36">
        <v>0</v>
      </c>
      <c r="I36">
        <v>0</v>
      </c>
      <c r="J36">
        <v>11.9</v>
      </c>
      <c r="K36">
        <v>1.2</v>
      </c>
      <c r="L36">
        <v>13.1</v>
      </c>
      <c r="M36">
        <v>2</v>
      </c>
    </row>
    <row r="37" spans="1:13" hidden="1" x14ac:dyDescent="0.2">
      <c r="A37" t="s">
        <v>112</v>
      </c>
      <c r="B37" t="s">
        <v>14</v>
      </c>
      <c r="C37">
        <v>9359663000102</v>
      </c>
      <c r="D37" t="s">
        <v>101</v>
      </c>
      <c r="E37">
        <v>2</v>
      </c>
      <c r="F37">
        <v>11.9</v>
      </c>
      <c r="G37">
        <v>0</v>
      </c>
      <c r="H37">
        <v>0</v>
      </c>
      <c r="I37">
        <v>0</v>
      </c>
      <c r="J37">
        <v>11.9</v>
      </c>
      <c r="K37">
        <v>1.2</v>
      </c>
      <c r="L37">
        <v>13.1</v>
      </c>
      <c r="M37">
        <v>2</v>
      </c>
    </row>
    <row r="38" spans="1:13" hidden="1" x14ac:dyDescent="0.2">
      <c r="A38" t="s">
        <v>395</v>
      </c>
      <c r="B38" t="s">
        <v>14</v>
      </c>
      <c r="C38">
        <v>9356887072755</v>
      </c>
      <c r="D38" t="s">
        <v>101</v>
      </c>
      <c r="E38">
        <v>2</v>
      </c>
      <c r="F38">
        <v>16.98</v>
      </c>
      <c r="G38">
        <v>0</v>
      </c>
      <c r="H38">
        <v>0</v>
      </c>
      <c r="I38">
        <v>0</v>
      </c>
      <c r="J38">
        <v>16.98</v>
      </c>
      <c r="K38">
        <v>1.72</v>
      </c>
      <c r="L38">
        <v>18.7</v>
      </c>
      <c r="M38">
        <v>2</v>
      </c>
    </row>
    <row r="39" spans="1:13" hidden="1" x14ac:dyDescent="0.2">
      <c r="A39" t="s">
        <v>537</v>
      </c>
      <c r="B39" t="s">
        <v>14</v>
      </c>
      <c r="C39" t="s">
        <v>538</v>
      </c>
      <c r="D39" t="s">
        <v>101</v>
      </c>
      <c r="E39">
        <v>2</v>
      </c>
      <c r="F39">
        <v>16.98</v>
      </c>
      <c r="G39">
        <v>0</v>
      </c>
      <c r="H39">
        <v>0</v>
      </c>
      <c r="I39">
        <v>0</v>
      </c>
      <c r="J39">
        <v>16.98</v>
      </c>
      <c r="K39">
        <v>1.72</v>
      </c>
      <c r="L39">
        <v>18.7</v>
      </c>
      <c r="M39">
        <v>2</v>
      </c>
    </row>
    <row r="40" spans="1:13" hidden="1" x14ac:dyDescent="0.2">
      <c r="A40" t="s">
        <v>536</v>
      </c>
      <c r="B40" t="s">
        <v>14</v>
      </c>
      <c r="C40">
        <v>9356887095754</v>
      </c>
      <c r="D40" t="s">
        <v>101</v>
      </c>
      <c r="E40">
        <v>1</v>
      </c>
      <c r="F40">
        <v>8.49</v>
      </c>
      <c r="G40">
        <v>0</v>
      </c>
      <c r="H40">
        <v>0</v>
      </c>
      <c r="I40">
        <v>0</v>
      </c>
      <c r="J40">
        <v>8.49</v>
      </c>
      <c r="K40">
        <v>0.86</v>
      </c>
      <c r="L40">
        <v>9.35</v>
      </c>
      <c r="M40">
        <v>1</v>
      </c>
    </row>
    <row r="41" spans="1:13" hidden="1" x14ac:dyDescent="0.2">
      <c r="A41" t="s">
        <v>346</v>
      </c>
      <c r="B41" t="s">
        <v>14</v>
      </c>
      <c r="C41">
        <v>9356887048750</v>
      </c>
      <c r="D41" t="s">
        <v>101</v>
      </c>
      <c r="E41">
        <v>3</v>
      </c>
      <c r="F41">
        <v>25.47</v>
      </c>
      <c r="G41">
        <v>0</v>
      </c>
      <c r="H41">
        <v>0</v>
      </c>
      <c r="I41">
        <v>0</v>
      </c>
      <c r="J41">
        <v>25.47</v>
      </c>
      <c r="K41">
        <v>2.58</v>
      </c>
      <c r="L41">
        <v>28.05</v>
      </c>
      <c r="M41">
        <v>3</v>
      </c>
    </row>
    <row r="42" spans="1:13" hidden="1" x14ac:dyDescent="0.2">
      <c r="A42" t="s">
        <v>419</v>
      </c>
      <c r="B42" t="s">
        <v>14</v>
      </c>
      <c r="C42">
        <v>9421906005905</v>
      </c>
      <c r="D42" t="s">
        <v>101</v>
      </c>
      <c r="E42">
        <v>1</v>
      </c>
      <c r="F42">
        <v>5</v>
      </c>
      <c r="G42">
        <v>0</v>
      </c>
      <c r="H42">
        <v>0</v>
      </c>
      <c r="I42">
        <v>0</v>
      </c>
      <c r="J42">
        <v>5</v>
      </c>
      <c r="K42">
        <v>0</v>
      </c>
      <c r="L42">
        <v>5</v>
      </c>
      <c r="M42">
        <v>1</v>
      </c>
    </row>
    <row r="43" spans="1:13" hidden="1" x14ac:dyDescent="0.2">
      <c r="A43" t="s">
        <v>653</v>
      </c>
      <c r="B43" t="s">
        <v>14</v>
      </c>
      <c r="C43">
        <v>9421902090035</v>
      </c>
      <c r="D43" t="s">
        <v>101</v>
      </c>
      <c r="E43">
        <v>2</v>
      </c>
      <c r="F43">
        <v>9.99</v>
      </c>
      <c r="G43">
        <v>0</v>
      </c>
      <c r="H43">
        <v>0</v>
      </c>
      <c r="I43">
        <v>0</v>
      </c>
      <c r="J43">
        <v>9.99</v>
      </c>
      <c r="K43">
        <v>1.01</v>
      </c>
      <c r="L43">
        <v>11</v>
      </c>
      <c r="M43">
        <v>2</v>
      </c>
    </row>
    <row r="44" spans="1:13" hidden="1" x14ac:dyDescent="0.2">
      <c r="A44" t="s">
        <v>652</v>
      </c>
      <c r="B44" t="s">
        <v>14</v>
      </c>
      <c r="C44">
        <v>9309000633166</v>
      </c>
      <c r="D44" t="s">
        <v>101</v>
      </c>
      <c r="E44">
        <v>1</v>
      </c>
      <c r="F44">
        <v>29.93</v>
      </c>
      <c r="G44">
        <v>0</v>
      </c>
      <c r="H44">
        <v>0</v>
      </c>
      <c r="I44">
        <v>0</v>
      </c>
      <c r="J44">
        <v>29.93</v>
      </c>
      <c r="K44">
        <v>3.02</v>
      </c>
      <c r="L44">
        <v>32.950000000000003</v>
      </c>
      <c r="M44">
        <v>1</v>
      </c>
    </row>
    <row r="45" spans="1:13" hidden="1" x14ac:dyDescent="0.2">
      <c r="A45" t="s">
        <v>370</v>
      </c>
      <c r="B45" t="s">
        <v>14</v>
      </c>
      <c r="C45">
        <v>9351775001176</v>
      </c>
      <c r="D45" t="s">
        <v>101</v>
      </c>
      <c r="E45">
        <v>2</v>
      </c>
      <c r="F45">
        <v>11.9</v>
      </c>
      <c r="G45">
        <v>0</v>
      </c>
      <c r="H45">
        <v>0</v>
      </c>
      <c r="I45">
        <v>0</v>
      </c>
      <c r="J45">
        <v>11.9</v>
      </c>
      <c r="K45">
        <v>1.2</v>
      </c>
      <c r="L45">
        <v>13.1</v>
      </c>
      <c r="M45">
        <v>2</v>
      </c>
    </row>
    <row r="46" spans="1:13" hidden="1" x14ac:dyDescent="0.2">
      <c r="A46" t="s">
        <v>345</v>
      </c>
      <c r="B46" t="s">
        <v>14</v>
      </c>
      <c r="C46">
        <v>9351775001169</v>
      </c>
      <c r="D46" t="s">
        <v>101</v>
      </c>
      <c r="E46">
        <v>2</v>
      </c>
      <c r="F46">
        <v>11.91</v>
      </c>
      <c r="G46">
        <v>0</v>
      </c>
      <c r="H46">
        <v>0</v>
      </c>
      <c r="I46">
        <v>0</v>
      </c>
      <c r="J46">
        <v>11.91</v>
      </c>
      <c r="K46">
        <v>1.19</v>
      </c>
      <c r="L46">
        <v>13.1</v>
      </c>
      <c r="M46">
        <v>2</v>
      </c>
    </row>
    <row r="47" spans="1:13" hidden="1" x14ac:dyDescent="0.2">
      <c r="A47" t="s">
        <v>344</v>
      </c>
      <c r="B47" t="s">
        <v>14</v>
      </c>
      <c r="C47">
        <v>9351775001152</v>
      </c>
      <c r="D47" t="s">
        <v>101</v>
      </c>
      <c r="E47">
        <v>2</v>
      </c>
      <c r="F47">
        <v>11.89</v>
      </c>
      <c r="G47">
        <v>0</v>
      </c>
      <c r="H47">
        <v>0</v>
      </c>
      <c r="I47">
        <v>0</v>
      </c>
      <c r="J47">
        <v>11.89</v>
      </c>
      <c r="K47">
        <v>1.21</v>
      </c>
      <c r="L47">
        <v>13.1</v>
      </c>
      <c r="M47">
        <v>2</v>
      </c>
    </row>
    <row r="48" spans="1:13" hidden="1" x14ac:dyDescent="0.2">
      <c r="A48" t="s">
        <v>111</v>
      </c>
      <c r="B48" t="s">
        <v>14</v>
      </c>
      <c r="C48">
        <v>9309001347086</v>
      </c>
      <c r="D48" t="s">
        <v>101</v>
      </c>
      <c r="E48">
        <v>2</v>
      </c>
      <c r="F48">
        <v>9.99</v>
      </c>
      <c r="G48">
        <v>0</v>
      </c>
      <c r="H48">
        <v>0</v>
      </c>
      <c r="I48">
        <v>0</v>
      </c>
      <c r="J48">
        <v>9.99</v>
      </c>
      <c r="K48">
        <v>1.01</v>
      </c>
      <c r="L48">
        <v>11</v>
      </c>
      <c r="M48">
        <v>2</v>
      </c>
    </row>
    <row r="49" spans="1:13" hidden="1" x14ac:dyDescent="0.2">
      <c r="A49" t="s">
        <v>110</v>
      </c>
      <c r="B49" t="s">
        <v>14</v>
      </c>
      <c r="C49">
        <v>9309001347000</v>
      </c>
      <c r="D49" t="s">
        <v>101</v>
      </c>
      <c r="E49">
        <v>15</v>
      </c>
      <c r="F49">
        <v>75.150000000000006</v>
      </c>
      <c r="G49">
        <v>0</v>
      </c>
      <c r="H49">
        <v>0</v>
      </c>
      <c r="I49">
        <v>-2.29</v>
      </c>
      <c r="J49">
        <v>72.86</v>
      </c>
      <c r="K49">
        <v>7.35</v>
      </c>
      <c r="L49">
        <v>80.209999999999994</v>
      </c>
      <c r="M49">
        <v>15</v>
      </c>
    </row>
    <row r="50" spans="1:13" hidden="1" x14ac:dyDescent="0.2">
      <c r="A50" t="s">
        <v>109</v>
      </c>
      <c r="B50" t="s">
        <v>14</v>
      </c>
      <c r="C50">
        <v>9309001347031</v>
      </c>
      <c r="D50" t="s">
        <v>101</v>
      </c>
      <c r="E50">
        <v>10</v>
      </c>
      <c r="F50">
        <v>49.95</v>
      </c>
      <c r="G50">
        <v>0</v>
      </c>
      <c r="H50">
        <v>0</v>
      </c>
      <c r="I50">
        <v>0</v>
      </c>
      <c r="J50">
        <v>49.95</v>
      </c>
      <c r="K50">
        <v>5.05</v>
      </c>
      <c r="L50">
        <v>55</v>
      </c>
      <c r="M50">
        <v>10</v>
      </c>
    </row>
    <row r="51" spans="1:13" hidden="1" x14ac:dyDescent="0.2">
      <c r="A51" t="s">
        <v>108</v>
      </c>
      <c r="B51" t="s">
        <v>14</v>
      </c>
      <c r="C51">
        <v>9369998098040</v>
      </c>
      <c r="D51" t="s">
        <v>101</v>
      </c>
      <c r="E51">
        <v>1</v>
      </c>
      <c r="F51">
        <v>4.99</v>
      </c>
      <c r="G51">
        <v>0</v>
      </c>
      <c r="H51">
        <v>0</v>
      </c>
      <c r="I51">
        <v>0</v>
      </c>
      <c r="J51">
        <v>4.99</v>
      </c>
      <c r="K51">
        <v>0.51</v>
      </c>
      <c r="L51">
        <v>5.5</v>
      </c>
      <c r="M51">
        <v>1</v>
      </c>
    </row>
    <row r="52" spans="1:13" hidden="1" x14ac:dyDescent="0.2">
      <c r="A52" t="s">
        <v>107</v>
      </c>
      <c r="B52" t="s">
        <v>14</v>
      </c>
      <c r="C52">
        <v>9369998327683</v>
      </c>
      <c r="D52" t="s">
        <v>101</v>
      </c>
      <c r="E52">
        <v>15</v>
      </c>
      <c r="F52">
        <v>75.31</v>
      </c>
      <c r="G52">
        <v>0</v>
      </c>
      <c r="H52">
        <v>0</v>
      </c>
      <c r="I52">
        <v>-4.4000000000000004</v>
      </c>
      <c r="J52">
        <v>70.91</v>
      </c>
      <c r="K52">
        <v>7.19</v>
      </c>
      <c r="L52">
        <v>78.099999999999994</v>
      </c>
      <c r="M52">
        <v>15</v>
      </c>
    </row>
    <row r="53" spans="1:13" hidden="1" x14ac:dyDescent="0.2">
      <c r="A53" t="s">
        <v>106</v>
      </c>
      <c r="B53" t="s">
        <v>14</v>
      </c>
      <c r="C53">
        <v>9369998240739</v>
      </c>
      <c r="D53" t="s">
        <v>101</v>
      </c>
      <c r="E53">
        <v>14</v>
      </c>
      <c r="F53">
        <v>70.34</v>
      </c>
      <c r="G53">
        <v>0</v>
      </c>
      <c r="H53">
        <v>0</v>
      </c>
      <c r="I53">
        <v>-4.4000000000000004</v>
      </c>
      <c r="J53">
        <v>65.94</v>
      </c>
      <c r="K53">
        <v>6.66</v>
      </c>
      <c r="L53">
        <v>72.599999999999994</v>
      </c>
      <c r="M53">
        <v>14</v>
      </c>
    </row>
    <row r="54" spans="1:13" hidden="1" x14ac:dyDescent="0.2">
      <c r="A54" t="s">
        <v>535</v>
      </c>
      <c r="B54" t="s">
        <v>14</v>
      </c>
      <c r="C54">
        <v>9369998158102</v>
      </c>
      <c r="D54" t="s">
        <v>101</v>
      </c>
      <c r="E54">
        <v>4</v>
      </c>
      <c r="F54">
        <v>24.95</v>
      </c>
      <c r="G54">
        <v>0</v>
      </c>
      <c r="H54">
        <v>0</v>
      </c>
      <c r="I54">
        <v>-6.7</v>
      </c>
      <c r="J54">
        <v>18.25</v>
      </c>
      <c r="K54">
        <v>1.85</v>
      </c>
      <c r="L54">
        <v>20.100000000000001</v>
      </c>
      <c r="M54">
        <v>4</v>
      </c>
    </row>
    <row r="55" spans="1:13" hidden="1" x14ac:dyDescent="0.2">
      <c r="A55" t="s">
        <v>534</v>
      </c>
      <c r="B55" t="s">
        <v>14</v>
      </c>
      <c r="C55">
        <v>9369998097111</v>
      </c>
      <c r="D55" t="s">
        <v>101</v>
      </c>
      <c r="E55">
        <v>5</v>
      </c>
      <c r="F55">
        <v>30.4</v>
      </c>
      <c r="G55">
        <v>0</v>
      </c>
      <c r="H55">
        <v>0</v>
      </c>
      <c r="I55">
        <v>0</v>
      </c>
      <c r="J55">
        <v>30.4</v>
      </c>
      <c r="K55">
        <v>3.1</v>
      </c>
      <c r="L55">
        <v>33.5</v>
      </c>
      <c r="M55">
        <v>5</v>
      </c>
    </row>
    <row r="56" spans="1:13" hidden="1" x14ac:dyDescent="0.2">
      <c r="A56" t="s">
        <v>533</v>
      </c>
      <c r="B56" t="s">
        <v>14</v>
      </c>
      <c r="C56">
        <v>9369998327379</v>
      </c>
      <c r="D56" t="s">
        <v>101</v>
      </c>
      <c r="E56">
        <v>2</v>
      </c>
      <c r="F56">
        <v>12.17</v>
      </c>
      <c r="G56">
        <v>0</v>
      </c>
      <c r="H56">
        <v>0</v>
      </c>
      <c r="I56">
        <v>0</v>
      </c>
      <c r="J56">
        <v>12.17</v>
      </c>
      <c r="K56">
        <v>1.23</v>
      </c>
      <c r="L56">
        <v>13.4</v>
      </c>
      <c r="M56">
        <v>2</v>
      </c>
    </row>
    <row r="57" spans="1:13" hidden="1" x14ac:dyDescent="0.2">
      <c r="A57" t="s">
        <v>532</v>
      </c>
      <c r="B57" t="s">
        <v>14</v>
      </c>
      <c r="C57">
        <v>9369900075930</v>
      </c>
      <c r="D57" t="s">
        <v>101</v>
      </c>
      <c r="E57">
        <v>3</v>
      </c>
      <c r="F57">
        <v>20.43</v>
      </c>
      <c r="G57">
        <v>0</v>
      </c>
      <c r="H57">
        <v>0</v>
      </c>
      <c r="I57">
        <v>0</v>
      </c>
      <c r="J57">
        <v>20.43</v>
      </c>
      <c r="K57">
        <v>2.0699999999999998</v>
      </c>
      <c r="L57">
        <v>22.5</v>
      </c>
      <c r="M57">
        <v>3</v>
      </c>
    </row>
    <row r="58" spans="1:13" hidden="1" x14ac:dyDescent="0.2">
      <c r="A58" t="s">
        <v>531</v>
      </c>
      <c r="B58" t="s">
        <v>14</v>
      </c>
      <c r="C58">
        <v>9309000071067</v>
      </c>
      <c r="D58" t="s">
        <v>101</v>
      </c>
      <c r="E58">
        <v>1</v>
      </c>
      <c r="F58">
        <v>5.68</v>
      </c>
      <c r="G58">
        <v>0</v>
      </c>
      <c r="H58">
        <v>0</v>
      </c>
      <c r="I58">
        <v>0</v>
      </c>
      <c r="J58">
        <v>5.68</v>
      </c>
      <c r="K58">
        <v>0.56999999999999995</v>
      </c>
      <c r="L58">
        <v>6.25</v>
      </c>
      <c r="M58">
        <v>1</v>
      </c>
    </row>
    <row r="59" spans="1:13" hidden="1" x14ac:dyDescent="0.2">
      <c r="A59" t="s">
        <v>105</v>
      </c>
      <c r="B59" t="s">
        <v>14</v>
      </c>
      <c r="C59">
        <v>9309000071074</v>
      </c>
      <c r="D59" t="s">
        <v>101</v>
      </c>
      <c r="E59">
        <v>2</v>
      </c>
      <c r="F59">
        <v>11.36</v>
      </c>
      <c r="G59">
        <v>0</v>
      </c>
      <c r="H59">
        <v>0</v>
      </c>
      <c r="I59">
        <v>0</v>
      </c>
      <c r="J59">
        <v>11.36</v>
      </c>
      <c r="K59">
        <v>1.1399999999999999</v>
      </c>
      <c r="L59">
        <v>12.5</v>
      </c>
      <c r="M59">
        <v>2</v>
      </c>
    </row>
    <row r="60" spans="1:13" hidden="1" x14ac:dyDescent="0.2">
      <c r="A60" t="s">
        <v>104</v>
      </c>
      <c r="B60" t="s">
        <v>14</v>
      </c>
      <c r="C60">
        <v>9336243003036</v>
      </c>
      <c r="D60" t="s">
        <v>101</v>
      </c>
      <c r="E60">
        <v>1</v>
      </c>
      <c r="F60">
        <v>3.85</v>
      </c>
      <c r="G60">
        <v>0</v>
      </c>
      <c r="H60">
        <v>0</v>
      </c>
      <c r="I60">
        <v>0</v>
      </c>
      <c r="J60">
        <v>3.85</v>
      </c>
      <c r="K60">
        <v>0</v>
      </c>
      <c r="L60">
        <v>3.85</v>
      </c>
      <c r="M60">
        <v>1</v>
      </c>
    </row>
    <row r="61" spans="1:13" hidden="1" x14ac:dyDescent="0.2">
      <c r="A61" t="s">
        <v>103</v>
      </c>
      <c r="B61" t="s">
        <v>14</v>
      </c>
      <c r="C61">
        <v>9336243003166</v>
      </c>
      <c r="D61" t="s">
        <v>101</v>
      </c>
      <c r="E61">
        <v>3</v>
      </c>
      <c r="F61">
        <v>19.95</v>
      </c>
      <c r="G61">
        <v>0</v>
      </c>
      <c r="H61">
        <v>0</v>
      </c>
      <c r="I61">
        <v>-2.2799999999999998</v>
      </c>
      <c r="J61">
        <v>17.670000000000002</v>
      </c>
      <c r="K61">
        <v>0</v>
      </c>
      <c r="L61">
        <v>17.670000000000002</v>
      </c>
      <c r="M61">
        <v>3</v>
      </c>
    </row>
    <row r="62" spans="1:13" hidden="1" x14ac:dyDescent="0.2">
      <c r="A62" t="s">
        <v>394</v>
      </c>
      <c r="B62" t="s">
        <v>14</v>
      </c>
      <c r="C62">
        <v>9336243003456</v>
      </c>
      <c r="D62" t="s">
        <v>101</v>
      </c>
      <c r="E62">
        <v>2</v>
      </c>
      <c r="F62">
        <v>15.9</v>
      </c>
      <c r="G62">
        <v>0</v>
      </c>
      <c r="H62">
        <v>0</v>
      </c>
      <c r="I62">
        <v>-2.72</v>
      </c>
      <c r="J62">
        <v>13.18</v>
      </c>
      <c r="K62">
        <v>0</v>
      </c>
      <c r="L62">
        <v>13.18</v>
      </c>
      <c r="M62">
        <v>2</v>
      </c>
    </row>
    <row r="63" spans="1:13" hidden="1" x14ac:dyDescent="0.2">
      <c r="A63" t="s">
        <v>530</v>
      </c>
      <c r="B63" t="s">
        <v>14</v>
      </c>
      <c r="C63">
        <v>9421902964909</v>
      </c>
      <c r="D63" t="s">
        <v>101</v>
      </c>
      <c r="E63">
        <v>1</v>
      </c>
      <c r="F63">
        <v>8.76</v>
      </c>
      <c r="G63">
        <v>0</v>
      </c>
      <c r="H63">
        <v>0</v>
      </c>
      <c r="I63">
        <v>0</v>
      </c>
      <c r="J63">
        <v>8.76</v>
      </c>
      <c r="K63">
        <v>0.89</v>
      </c>
      <c r="L63">
        <v>9.65</v>
      </c>
      <c r="M63">
        <v>1</v>
      </c>
    </row>
    <row r="64" spans="1:13" hidden="1" x14ac:dyDescent="0.2">
      <c r="A64" t="s">
        <v>529</v>
      </c>
      <c r="B64" t="s">
        <v>14</v>
      </c>
      <c r="C64">
        <v>9310371120605</v>
      </c>
      <c r="D64" t="s">
        <v>101</v>
      </c>
      <c r="E64">
        <v>2</v>
      </c>
      <c r="F64">
        <v>39.049999999999997</v>
      </c>
      <c r="G64">
        <v>0</v>
      </c>
      <c r="H64">
        <v>0</v>
      </c>
      <c r="I64">
        <v>0</v>
      </c>
      <c r="J64">
        <v>39.049999999999997</v>
      </c>
      <c r="K64">
        <v>3.95</v>
      </c>
      <c r="L64">
        <v>43</v>
      </c>
      <c r="M64">
        <v>2</v>
      </c>
    </row>
    <row r="65" spans="1:13" hidden="1" x14ac:dyDescent="0.2">
      <c r="A65" t="s">
        <v>310</v>
      </c>
      <c r="B65" t="s">
        <v>14</v>
      </c>
      <c r="C65">
        <v>9312336048214</v>
      </c>
      <c r="D65" t="s">
        <v>101</v>
      </c>
      <c r="E65">
        <v>4</v>
      </c>
      <c r="F65">
        <v>16.739999999999998</v>
      </c>
      <c r="G65">
        <v>0</v>
      </c>
      <c r="H65">
        <v>0</v>
      </c>
      <c r="I65">
        <v>-0.28999999999999998</v>
      </c>
      <c r="J65">
        <v>16.45</v>
      </c>
      <c r="K65">
        <v>1.66</v>
      </c>
      <c r="L65">
        <v>18.11</v>
      </c>
      <c r="M65">
        <v>4</v>
      </c>
    </row>
    <row r="66" spans="1:13" hidden="1" x14ac:dyDescent="0.2">
      <c r="A66" t="s">
        <v>102</v>
      </c>
      <c r="B66" t="s">
        <v>14</v>
      </c>
      <c r="C66">
        <v>9312336048283</v>
      </c>
      <c r="D66" t="s">
        <v>101</v>
      </c>
      <c r="E66">
        <v>9</v>
      </c>
      <c r="F66">
        <v>37.630000000000003</v>
      </c>
      <c r="G66">
        <v>0</v>
      </c>
      <c r="H66">
        <v>0</v>
      </c>
      <c r="I66">
        <v>-0.28999999999999998</v>
      </c>
      <c r="J66">
        <v>37.340000000000003</v>
      </c>
      <c r="K66">
        <v>3.77</v>
      </c>
      <c r="L66">
        <v>41.11</v>
      </c>
      <c r="M66">
        <v>9</v>
      </c>
    </row>
    <row r="67" spans="1:13" hidden="1" x14ac:dyDescent="0.2">
      <c r="A67" t="s">
        <v>297</v>
      </c>
      <c r="B67" t="s">
        <v>14</v>
      </c>
      <c r="C67">
        <v>9312336048290</v>
      </c>
      <c r="D67" t="s">
        <v>101</v>
      </c>
      <c r="E67">
        <v>8</v>
      </c>
      <c r="F67">
        <v>33.51</v>
      </c>
      <c r="G67">
        <v>0</v>
      </c>
      <c r="H67">
        <v>0</v>
      </c>
      <c r="I67">
        <v>-0.92</v>
      </c>
      <c r="J67">
        <v>32.590000000000003</v>
      </c>
      <c r="K67">
        <v>3.29</v>
      </c>
      <c r="L67">
        <v>35.880000000000003</v>
      </c>
      <c r="M67">
        <v>8</v>
      </c>
    </row>
    <row r="68" spans="1:13" hidden="1" x14ac:dyDescent="0.2">
      <c r="A68" t="s">
        <v>296</v>
      </c>
      <c r="B68" t="s">
        <v>14</v>
      </c>
      <c r="C68">
        <v>9312336048221</v>
      </c>
      <c r="D68" t="s">
        <v>101</v>
      </c>
      <c r="E68">
        <v>5</v>
      </c>
      <c r="F68">
        <v>20.92</v>
      </c>
      <c r="G68">
        <v>0</v>
      </c>
      <c r="H68">
        <v>0</v>
      </c>
      <c r="I68">
        <v>-0.28999999999999998</v>
      </c>
      <c r="J68">
        <v>20.63</v>
      </c>
      <c r="K68">
        <v>2.08</v>
      </c>
      <c r="L68">
        <v>22.71</v>
      </c>
      <c r="M68">
        <v>5</v>
      </c>
    </row>
    <row r="69" spans="1:13" hidden="1" x14ac:dyDescent="0.2">
      <c r="A69" t="s">
        <v>528</v>
      </c>
      <c r="B69" t="s">
        <v>14</v>
      </c>
      <c r="C69">
        <v>9312336048207</v>
      </c>
      <c r="D69" t="s">
        <v>101</v>
      </c>
      <c r="E69">
        <v>5</v>
      </c>
      <c r="F69">
        <v>20.89</v>
      </c>
      <c r="G69">
        <v>0</v>
      </c>
      <c r="H69">
        <v>0</v>
      </c>
      <c r="I69">
        <v>0</v>
      </c>
      <c r="J69">
        <v>20.89</v>
      </c>
      <c r="K69">
        <v>2.11</v>
      </c>
      <c r="L69">
        <v>23</v>
      </c>
      <c r="M69">
        <v>5</v>
      </c>
    </row>
    <row r="70" spans="1:13" hidden="1" x14ac:dyDescent="0.2">
      <c r="A70" t="s">
        <v>343</v>
      </c>
      <c r="B70" t="s">
        <v>14</v>
      </c>
      <c r="C70">
        <v>9369900033589</v>
      </c>
      <c r="D70" t="s">
        <v>101</v>
      </c>
      <c r="E70">
        <v>2</v>
      </c>
      <c r="F70">
        <v>10</v>
      </c>
      <c r="G70">
        <v>0</v>
      </c>
      <c r="H70">
        <v>0</v>
      </c>
      <c r="I70">
        <v>0</v>
      </c>
      <c r="J70">
        <v>10</v>
      </c>
      <c r="K70">
        <v>0</v>
      </c>
      <c r="L70">
        <v>10</v>
      </c>
      <c r="M70">
        <v>2</v>
      </c>
    </row>
    <row r="71" spans="1:13" hidden="1" x14ac:dyDescent="0.2">
      <c r="A71" t="s">
        <v>527</v>
      </c>
      <c r="B71" t="s">
        <v>14</v>
      </c>
      <c r="C71">
        <v>9339496000005</v>
      </c>
      <c r="D71" t="s">
        <v>101</v>
      </c>
      <c r="E71">
        <v>5</v>
      </c>
      <c r="F71">
        <v>19.13</v>
      </c>
      <c r="G71">
        <v>0</v>
      </c>
      <c r="H71">
        <v>0</v>
      </c>
      <c r="I71">
        <v>-0.74</v>
      </c>
      <c r="J71">
        <v>18.39</v>
      </c>
      <c r="K71">
        <v>1.87</v>
      </c>
      <c r="L71">
        <v>20.260000000000002</v>
      </c>
      <c r="M71">
        <v>5</v>
      </c>
    </row>
    <row r="72" spans="1:13" hidden="1" x14ac:dyDescent="0.2">
      <c r="A72" t="s">
        <v>342</v>
      </c>
      <c r="B72" t="s">
        <v>14</v>
      </c>
      <c r="C72">
        <v>9421017790127</v>
      </c>
      <c r="D72" t="s">
        <v>101</v>
      </c>
      <c r="E72">
        <v>1</v>
      </c>
      <c r="F72">
        <v>5.9</v>
      </c>
      <c r="G72">
        <v>0</v>
      </c>
      <c r="H72">
        <v>0</v>
      </c>
      <c r="I72">
        <v>0</v>
      </c>
      <c r="J72">
        <v>5.9</v>
      </c>
      <c r="K72">
        <v>0</v>
      </c>
      <c r="L72">
        <v>5.9</v>
      </c>
      <c r="M72">
        <v>1</v>
      </c>
    </row>
    <row r="73" spans="1:13" hidden="1" x14ac:dyDescent="0.2">
      <c r="A73" t="s">
        <v>309</v>
      </c>
      <c r="B73" t="s">
        <v>14</v>
      </c>
      <c r="C73">
        <v>9421017790110</v>
      </c>
      <c r="D73" t="s">
        <v>101</v>
      </c>
      <c r="E73">
        <v>3</v>
      </c>
      <c r="F73">
        <v>26.85</v>
      </c>
      <c r="G73">
        <v>0</v>
      </c>
      <c r="H73">
        <v>0</v>
      </c>
      <c r="I73">
        <v>0</v>
      </c>
      <c r="J73">
        <v>26.85</v>
      </c>
      <c r="K73">
        <v>0</v>
      </c>
      <c r="L73">
        <v>26.85</v>
      </c>
      <c r="M73">
        <v>3</v>
      </c>
    </row>
    <row r="74" spans="1:13" hidden="1" x14ac:dyDescent="0.2">
      <c r="A74" t="s">
        <v>651</v>
      </c>
      <c r="B74" t="s">
        <v>14</v>
      </c>
      <c r="C74">
        <v>9421017790103</v>
      </c>
      <c r="D74" t="s">
        <v>101</v>
      </c>
      <c r="E74">
        <v>1</v>
      </c>
      <c r="F74">
        <v>6.15</v>
      </c>
      <c r="G74">
        <v>0</v>
      </c>
      <c r="H74">
        <v>0</v>
      </c>
      <c r="I74">
        <v>-2.71</v>
      </c>
      <c r="J74">
        <v>3.44</v>
      </c>
      <c r="K74">
        <v>0.35</v>
      </c>
      <c r="L74">
        <v>3.79</v>
      </c>
      <c r="M74">
        <v>1</v>
      </c>
    </row>
    <row r="75" spans="1:13" hidden="1" x14ac:dyDescent="0.2">
      <c r="A75" t="s">
        <v>526</v>
      </c>
      <c r="B75" t="s">
        <v>14</v>
      </c>
      <c r="C75">
        <v>9300745900858</v>
      </c>
      <c r="D75" t="s">
        <v>101</v>
      </c>
      <c r="E75">
        <v>3</v>
      </c>
      <c r="F75">
        <v>75.89</v>
      </c>
      <c r="G75">
        <v>0</v>
      </c>
      <c r="H75">
        <v>0</v>
      </c>
      <c r="I75">
        <v>-16.38</v>
      </c>
      <c r="J75">
        <v>59.51</v>
      </c>
      <c r="K75">
        <v>6.01</v>
      </c>
      <c r="L75">
        <v>65.52</v>
      </c>
      <c r="M75">
        <v>3</v>
      </c>
    </row>
    <row r="76" spans="1:13" hidden="1" x14ac:dyDescent="0.2">
      <c r="A76" t="s">
        <v>650</v>
      </c>
      <c r="B76" t="s">
        <v>14</v>
      </c>
      <c r="C76">
        <v>9300745510651</v>
      </c>
      <c r="D76" t="s">
        <v>101</v>
      </c>
      <c r="E76">
        <v>3</v>
      </c>
      <c r="F76">
        <v>75.88</v>
      </c>
      <c r="G76">
        <v>0</v>
      </c>
      <c r="H76">
        <v>0</v>
      </c>
      <c r="I76">
        <v>-16.38</v>
      </c>
      <c r="J76">
        <v>59.5</v>
      </c>
      <c r="K76">
        <v>6.02</v>
      </c>
      <c r="L76">
        <v>65.52</v>
      </c>
      <c r="M76">
        <v>3</v>
      </c>
    </row>
    <row r="77" spans="1:13" hidden="1" x14ac:dyDescent="0.2">
      <c r="A77" t="s">
        <v>649</v>
      </c>
      <c r="B77" t="s">
        <v>14</v>
      </c>
      <c r="C77">
        <v>9300745900865</v>
      </c>
      <c r="D77" t="s">
        <v>101</v>
      </c>
      <c r="E77">
        <v>3</v>
      </c>
      <c r="F77">
        <v>75.88</v>
      </c>
      <c r="G77">
        <v>0</v>
      </c>
      <c r="H77">
        <v>0</v>
      </c>
      <c r="I77">
        <v>-16.38</v>
      </c>
      <c r="J77">
        <v>59.5</v>
      </c>
      <c r="K77">
        <v>6.02</v>
      </c>
      <c r="L77">
        <v>65.52</v>
      </c>
      <c r="M77">
        <v>3</v>
      </c>
    </row>
    <row r="78" spans="1:13" hidden="1" x14ac:dyDescent="0.2">
      <c r="A78" t="s">
        <v>393</v>
      </c>
      <c r="B78" t="s">
        <v>14</v>
      </c>
      <c r="C78">
        <v>9352271000366</v>
      </c>
      <c r="D78" t="s">
        <v>101</v>
      </c>
      <c r="E78">
        <v>5</v>
      </c>
      <c r="F78">
        <v>14.75</v>
      </c>
      <c r="G78">
        <v>0</v>
      </c>
      <c r="H78">
        <v>0</v>
      </c>
      <c r="I78">
        <v>0</v>
      </c>
      <c r="J78">
        <v>14.75</v>
      </c>
      <c r="K78">
        <v>1.5</v>
      </c>
      <c r="L78">
        <v>16.25</v>
      </c>
      <c r="M78">
        <v>5</v>
      </c>
    </row>
    <row r="79" spans="1:13" hidden="1" x14ac:dyDescent="0.2">
      <c r="A79" t="s">
        <v>392</v>
      </c>
      <c r="B79" t="s">
        <v>14</v>
      </c>
      <c r="C79">
        <v>9352271000380</v>
      </c>
      <c r="D79" t="s">
        <v>101</v>
      </c>
      <c r="E79">
        <v>9</v>
      </c>
      <c r="F79">
        <v>45.03</v>
      </c>
      <c r="G79">
        <v>0</v>
      </c>
      <c r="H79">
        <v>0</v>
      </c>
      <c r="I79">
        <v>-1.06</v>
      </c>
      <c r="J79">
        <v>43.97</v>
      </c>
      <c r="K79">
        <v>4.47</v>
      </c>
      <c r="L79">
        <v>48.44</v>
      </c>
      <c r="M79">
        <v>9</v>
      </c>
    </row>
    <row r="80" spans="1:13" hidden="1" x14ac:dyDescent="0.2">
      <c r="A80" t="s">
        <v>648</v>
      </c>
      <c r="B80" t="s">
        <v>14</v>
      </c>
      <c r="C80">
        <v>754523531397</v>
      </c>
      <c r="D80" t="s">
        <v>101</v>
      </c>
      <c r="E80">
        <v>2</v>
      </c>
      <c r="F80">
        <v>7.5</v>
      </c>
      <c r="G80">
        <v>0</v>
      </c>
      <c r="H80">
        <v>0</v>
      </c>
      <c r="I80">
        <v>0</v>
      </c>
      <c r="J80">
        <v>7.5</v>
      </c>
      <c r="K80">
        <v>0</v>
      </c>
      <c r="L80">
        <v>7.5</v>
      </c>
      <c r="M80">
        <v>2</v>
      </c>
    </row>
  </sheetData>
  <pageMargins left="0.7" right="0.7" top="0.75" bottom="0.75" header="0.3" footer="0.3"/>
  <pageSetup paperSize="9" orientation="portrait" horizontalDpi="0" verticalDpi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701F8C-2295-4545-AD35-FF2AD26F9AFE}">
  <dimension ref="A1:M40"/>
  <sheetViews>
    <sheetView workbookViewId="0">
      <selection activeCell="J1" sqref="J1:J1048576"/>
    </sheetView>
  </sheetViews>
  <sheetFormatPr baseColWidth="10" defaultRowHeight="16" x14ac:dyDescent="0.2"/>
  <cols>
    <col min="1" max="1" width="46" bestFit="1" customWidth="1"/>
    <col min="2" max="2" width="15.33203125" bestFit="1" customWidth="1"/>
    <col min="3" max="3" width="12.1640625" bestFit="1" customWidth="1"/>
    <col min="4" max="4" width="13.33203125" bestFit="1" customWidth="1"/>
    <col min="5" max="5" width="12.33203125" bestFit="1" customWidth="1"/>
    <col min="6" max="6" width="15" bestFit="1" customWidth="1"/>
    <col min="7" max="7" width="16.6640625" bestFit="1" customWidth="1"/>
    <col min="8" max="8" width="11" bestFit="1" customWidth="1"/>
    <col min="9" max="9" width="20.1640625" bestFit="1" customWidth="1"/>
    <col min="10" max="10" width="11.5" bestFit="1" customWidth="1"/>
    <col min="11" max="11" width="11" bestFit="1" customWidth="1"/>
    <col min="12" max="12" width="13.5" bestFit="1" customWidth="1"/>
    <col min="13" max="13" width="11.83203125" bestFit="1" customWidth="1"/>
  </cols>
  <sheetData>
    <row r="1" spans="1:13" x14ac:dyDescent="0.2">
      <c r="A1" s="4" t="s">
        <v>729</v>
      </c>
    </row>
    <row r="3" spans="1:13" x14ac:dyDescent="0.2">
      <c r="A3" t="s">
        <v>0</v>
      </c>
      <c r="B3" t="s">
        <v>1</v>
      </c>
      <c r="C3" t="s">
        <v>2</v>
      </c>
      <c r="D3" t="s">
        <v>3</v>
      </c>
      <c r="E3" t="s">
        <v>4</v>
      </c>
      <c r="F3" t="s">
        <v>5</v>
      </c>
      <c r="G3" t="s">
        <v>6</v>
      </c>
      <c r="H3" t="s">
        <v>7</v>
      </c>
      <c r="I3" t="s">
        <v>8</v>
      </c>
      <c r="J3" t="s">
        <v>9</v>
      </c>
      <c r="K3" t="s">
        <v>10</v>
      </c>
      <c r="L3" t="s">
        <v>11</v>
      </c>
      <c r="M3" t="s">
        <v>12</v>
      </c>
    </row>
    <row r="4" spans="1:13" hidden="1" x14ac:dyDescent="0.2">
      <c r="A4" t="s">
        <v>30</v>
      </c>
      <c r="B4" t="s">
        <v>14</v>
      </c>
      <c r="C4">
        <v>9369998409778</v>
      </c>
      <c r="D4" t="s">
        <v>18</v>
      </c>
      <c r="E4">
        <v>6</v>
      </c>
      <c r="F4">
        <v>144</v>
      </c>
      <c r="G4">
        <v>0</v>
      </c>
      <c r="H4">
        <v>0</v>
      </c>
      <c r="I4">
        <v>-1.55</v>
      </c>
      <c r="J4">
        <v>142.44999999999999</v>
      </c>
      <c r="K4">
        <v>0</v>
      </c>
      <c r="L4">
        <v>142.44999999999999</v>
      </c>
      <c r="M4">
        <v>6</v>
      </c>
    </row>
    <row r="5" spans="1:13" hidden="1" x14ac:dyDescent="0.2">
      <c r="A5" t="s">
        <v>29</v>
      </c>
      <c r="B5" t="s">
        <v>14</v>
      </c>
      <c r="C5">
        <v>9369998125777</v>
      </c>
      <c r="D5" t="s">
        <v>18</v>
      </c>
      <c r="E5">
        <v>4</v>
      </c>
      <c r="F5">
        <v>96.8</v>
      </c>
      <c r="G5">
        <v>0</v>
      </c>
      <c r="H5">
        <v>0</v>
      </c>
      <c r="I5">
        <v>-4.1500000000000004</v>
      </c>
      <c r="J5">
        <v>92.65</v>
      </c>
      <c r="K5">
        <v>0</v>
      </c>
      <c r="L5">
        <v>92.65</v>
      </c>
      <c r="M5">
        <v>4</v>
      </c>
    </row>
    <row r="6" spans="1:13" hidden="1" x14ac:dyDescent="0.2">
      <c r="A6" t="s">
        <v>19</v>
      </c>
      <c r="B6" t="s">
        <v>14</v>
      </c>
      <c r="C6">
        <v>9369998065462</v>
      </c>
      <c r="D6" t="s">
        <v>18</v>
      </c>
      <c r="E6">
        <v>5</v>
      </c>
      <c r="F6">
        <v>85</v>
      </c>
      <c r="G6">
        <v>0</v>
      </c>
      <c r="H6">
        <v>0</v>
      </c>
      <c r="I6">
        <v>0</v>
      </c>
      <c r="J6">
        <v>85</v>
      </c>
      <c r="K6">
        <v>0</v>
      </c>
      <c r="L6">
        <v>85</v>
      </c>
      <c r="M6">
        <v>5</v>
      </c>
    </row>
    <row r="7" spans="1:13" hidden="1" x14ac:dyDescent="0.2">
      <c r="A7" t="s">
        <v>20</v>
      </c>
      <c r="B7" t="s">
        <v>14</v>
      </c>
      <c r="C7">
        <v>9349227000211</v>
      </c>
      <c r="D7" t="s">
        <v>18</v>
      </c>
      <c r="E7">
        <v>7</v>
      </c>
      <c r="F7">
        <v>83.3</v>
      </c>
      <c r="G7">
        <v>0</v>
      </c>
      <c r="H7">
        <v>0</v>
      </c>
      <c r="I7">
        <v>-2.38</v>
      </c>
      <c r="J7">
        <v>80.92</v>
      </c>
      <c r="K7">
        <v>0</v>
      </c>
      <c r="L7">
        <v>80.92</v>
      </c>
      <c r="M7">
        <v>7</v>
      </c>
    </row>
    <row r="8" spans="1:13" hidden="1" x14ac:dyDescent="0.2">
      <c r="A8" t="s">
        <v>447</v>
      </c>
      <c r="B8" t="s">
        <v>14</v>
      </c>
      <c r="C8">
        <v>9369998033126</v>
      </c>
      <c r="D8" t="s">
        <v>18</v>
      </c>
      <c r="E8">
        <v>3</v>
      </c>
      <c r="F8">
        <v>72</v>
      </c>
      <c r="G8">
        <v>0</v>
      </c>
      <c r="H8">
        <v>0</v>
      </c>
      <c r="I8">
        <v>0</v>
      </c>
      <c r="J8">
        <v>72</v>
      </c>
      <c r="K8">
        <v>0</v>
      </c>
      <c r="L8">
        <v>72</v>
      </c>
      <c r="M8">
        <v>3</v>
      </c>
    </row>
    <row r="9" spans="1:13" hidden="1" x14ac:dyDescent="0.2">
      <c r="A9" t="s">
        <v>22</v>
      </c>
      <c r="B9" t="s">
        <v>14</v>
      </c>
      <c r="C9">
        <v>9325239000258</v>
      </c>
      <c r="D9" t="s">
        <v>18</v>
      </c>
      <c r="E9">
        <v>7</v>
      </c>
      <c r="F9">
        <v>65.8</v>
      </c>
      <c r="G9">
        <v>0</v>
      </c>
      <c r="H9">
        <v>0</v>
      </c>
      <c r="I9">
        <v>-6.74</v>
      </c>
      <c r="J9">
        <v>59.06</v>
      </c>
      <c r="K9">
        <v>0</v>
      </c>
      <c r="L9">
        <v>59.06</v>
      </c>
      <c r="M9">
        <v>7</v>
      </c>
    </row>
    <row r="10" spans="1:13" hidden="1" x14ac:dyDescent="0.2">
      <c r="A10" t="s">
        <v>304</v>
      </c>
      <c r="B10" t="s">
        <v>14</v>
      </c>
      <c r="C10">
        <v>799439079007</v>
      </c>
      <c r="D10" t="s">
        <v>18</v>
      </c>
      <c r="E10">
        <v>5</v>
      </c>
      <c r="F10">
        <v>57.25</v>
      </c>
      <c r="G10">
        <v>0</v>
      </c>
      <c r="H10">
        <v>0</v>
      </c>
      <c r="I10">
        <v>-5.04</v>
      </c>
      <c r="J10">
        <v>52.21</v>
      </c>
      <c r="K10">
        <v>0</v>
      </c>
      <c r="L10">
        <v>52.21</v>
      </c>
      <c r="M10">
        <v>5</v>
      </c>
    </row>
    <row r="11" spans="1:13" hidden="1" x14ac:dyDescent="0.2">
      <c r="A11" t="s">
        <v>305</v>
      </c>
      <c r="B11" t="s">
        <v>14</v>
      </c>
      <c r="C11">
        <v>9369999033712</v>
      </c>
      <c r="D11" t="s">
        <v>18</v>
      </c>
      <c r="E11">
        <v>4</v>
      </c>
      <c r="F11">
        <v>53</v>
      </c>
      <c r="G11">
        <v>0</v>
      </c>
      <c r="H11">
        <v>0</v>
      </c>
      <c r="I11">
        <v>-0.32</v>
      </c>
      <c r="J11">
        <v>52.68</v>
      </c>
      <c r="K11">
        <v>0</v>
      </c>
      <c r="L11">
        <v>52.68</v>
      </c>
      <c r="M11">
        <v>4</v>
      </c>
    </row>
    <row r="12" spans="1:13" hidden="1" x14ac:dyDescent="0.2">
      <c r="A12" t="s">
        <v>26</v>
      </c>
      <c r="B12" t="s">
        <v>14</v>
      </c>
      <c r="C12">
        <v>9325239000791</v>
      </c>
      <c r="D12" t="s">
        <v>18</v>
      </c>
      <c r="E12">
        <v>5</v>
      </c>
      <c r="F12">
        <v>47</v>
      </c>
      <c r="G12">
        <v>0</v>
      </c>
      <c r="H12">
        <v>0</v>
      </c>
      <c r="I12">
        <v>0</v>
      </c>
      <c r="J12">
        <v>47</v>
      </c>
      <c r="K12">
        <v>0</v>
      </c>
      <c r="L12">
        <v>47</v>
      </c>
      <c r="M12">
        <v>5</v>
      </c>
    </row>
    <row r="13" spans="1:13" hidden="1" x14ac:dyDescent="0.2">
      <c r="A13" t="s">
        <v>281</v>
      </c>
      <c r="B13" t="s">
        <v>14</v>
      </c>
      <c r="C13">
        <v>9369998515103</v>
      </c>
      <c r="D13" t="s">
        <v>18</v>
      </c>
      <c r="E13">
        <v>4</v>
      </c>
      <c r="F13">
        <v>45.6</v>
      </c>
      <c r="G13">
        <v>0</v>
      </c>
      <c r="H13">
        <v>0</v>
      </c>
      <c r="I13">
        <v>-1.1399999999999999</v>
      </c>
      <c r="J13">
        <v>44.46</v>
      </c>
      <c r="K13">
        <v>0</v>
      </c>
      <c r="L13">
        <v>44.46</v>
      </c>
      <c r="M13">
        <v>4</v>
      </c>
    </row>
    <row r="14" spans="1:13" hidden="1" x14ac:dyDescent="0.2">
      <c r="A14" t="s">
        <v>597</v>
      </c>
      <c r="B14" t="s">
        <v>14</v>
      </c>
      <c r="C14">
        <v>1032731</v>
      </c>
      <c r="D14" t="s">
        <v>18</v>
      </c>
      <c r="E14">
        <v>2</v>
      </c>
      <c r="F14">
        <v>37.9</v>
      </c>
      <c r="G14">
        <v>0</v>
      </c>
      <c r="H14">
        <v>0</v>
      </c>
      <c r="I14">
        <v>-7.58</v>
      </c>
      <c r="J14">
        <v>30.32</v>
      </c>
      <c r="K14">
        <v>0</v>
      </c>
      <c r="L14">
        <v>30.32</v>
      </c>
      <c r="M14">
        <v>2</v>
      </c>
    </row>
    <row r="15" spans="1:13" hidden="1" x14ac:dyDescent="0.2">
      <c r="A15" t="s">
        <v>25</v>
      </c>
      <c r="B15" t="s">
        <v>14</v>
      </c>
      <c r="C15">
        <v>9325239000128</v>
      </c>
      <c r="D15" t="s">
        <v>18</v>
      </c>
      <c r="E15">
        <v>4</v>
      </c>
      <c r="F15">
        <v>37.6</v>
      </c>
      <c r="G15">
        <v>0</v>
      </c>
      <c r="H15">
        <v>0</v>
      </c>
      <c r="I15">
        <v>-2.11</v>
      </c>
      <c r="J15">
        <v>35.49</v>
      </c>
      <c r="K15">
        <v>0</v>
      </c>
      <c r="L15">
        <v>35.49</v>
      </c>
      <c r="M15">
        <v>4</v>
      </c>
    </row>
    <row r="16" spans="1:13" x14ac:dyDescent="0.2">
      <c r="A16" t="s">
        <v>445</v>
      </c>
      <c r="B16" t="s">
        <v>14</v>
      </c>
      <c r="C16">
        <v>5032722301252</v>
      </c>
      <c r="D16" t="s">
        <v>18</v>
      </c>
      <c r="E16">
        <v>4</v>
      </c>
      <c r="F16">
        <v>35.799999999999997</v>
      </c>
      <c r="G16">
        <v>0</v>
      </c>
      <c r="H16">
        <v>0</v>
      </c>
      <c r="I16">
        <v>0</v>
      </c>
      <c r="J16">
        <v>35.799999999999997</v>
      </c>
      <c r="K16">
        <v>0</v>
      </c>
      <c r="L16">
        <v>35.799999999999997</v>
      </c>
      <c r="M16">
        <v>4</v>
      </c>
    </row>
    <row r="17" spans="1:13" hidden="1" x14ac:dyDescent="0.2">
      <c r="A17" t="s">
        <v>28</v>
      </c>
      <c r="B17" t="s">
        <v>14</v>
      </c>
      <c r="C17">
        <v>9369999349066</v>
      </c>
      <c r="D17" t="s">
        <v>18</v>
      </c>
      <c r="E17">
        <v>3</v>
      </c>
      <c r="F17">
        <v>35.1</v>
      </c>
      <c r="G17">
        <v>0</v>
      </c>
      <c r="H17">
        <v>0</v>
      </c>
      <c r="I17">
        <v>-10</v>
      </c>
      <c r="J17">
        <v>25.1</v>
      </c>
      <c r="K17">
        <v>0</v>
      </c>
      <c r="L17">
        <v>25.1</v>
      </c>
      <c r="M17">
        <v>3</v>
      </c>
    </row>
    <row r="18" spans="1:13" hidden="1" x14ac:dyDescent="0.2">
      <c r="A18" t="s">
        <v>501</v>
      </c>
      <c r="B18" t="s">
        <v>14</v>
      </c>
      <c r="C18">
        <v>9358153000011</v>
      </c>
      <c r="D18" t="s">
        <v>18</v>
      </c>
      <c r="E18">
        <v>3</v>
      </c>
      <c r="F18">
        <v>34.049999999999997</v>
      </c>
      <c r="G18">
        <v>0</v>
      </c>
      <c r="H18">
        <v>0</v>
      </c>
      <c r="I18">
        <v>0</v>
      </c>
      <c r="J18">
        <v>34.049999999999997</v>
      </c>
      <c r="K18">
        <v>0</v>
      </c>
      <c r="L18">
        <v>34.049999999999997</v>
      </c>
      <c r="M18">
        <v>3</v>
      </c>
    </row>
    <row r="19" spans="1:13" hidden="1" x14ac:dyDescent="0.2">
      <c r="A19" t="s">
        <v>27</v>
      </c>
      <c r="B19" t="s">
        <v>14</v>
      </c>
      <c r="C19">
        <v>9325239000807</v>
      </c>
      <c r="D19" t="s">
        <v>18</v>
      </c>
      <c r="E19">
        <v>3</v>
      </c>
      <c r="F19">
        <v>33.6</v>
      </c>
      <c r="G19">
        <v>-1</v>
      </c>
      <c r="H19">
        <v>-11.2</v>
      </c>
      <c r="I19">
        <v>0</v>
      </c>
      <c r="J19">
        <v>22.4</v>
      </c>
      <c r="K19">
        <v>0</v>
      </c>
      <c r="L19">
        <v>22.4</v>
      </c>
      <c r="M19">
        <v>3</v>
      </c>
    </row>
    <row r="20" spans="1:13" hidden="1" x14ac:dyDescent="0.2">
      <c r="A20" t="s">
        <v>596</v>
      </c>
      <c r="B20" t="s">
        <v>14</v>
      </c>
      <c r="C20">
        <v>799439079038</v>
      </c>
      <c r="D20" t="s">
        <v>18</v>
      </c>
      <c r="E20">
        <v>2</v>
      </c>
      <c r="F20">
        <v>30.6</v>
      </c>
      <c r="G20">
        <v>0</v>
      </c>
      <c r="H20">
        <v>0</v>
      </c>
      <c r="I20">
        <v>0</v>
      </c>
      <c r="J20">
        <v>30.6</v>
      </c>
      <c r="K20">
        <v>0</v>
      </c>
      <c r="L20">
        <v>30.6</v>
      </c>
      <c r="M20">
        <v>2</v>
      </c>
    </row>
    <row r="21" spans="1:13" hidden="1" x14ac:dyDescent="0.2">
      <c r="A21" t="s">
        <v>23</v>
      </c>
      <c r="B21" t="s">
        <v>14</v>
      </c>
      <c r="C21">
        <v>9325239000302</v>
      </c>
      <c r="D21" t="s">
        <v>18</v>
      </c>
      <c r="E21">
        <v>2</v>
      </c>
      <c r="F21">
        <v>22.4</v>
      </c>
      <c r="G21">
        <v>0</v>
      </c>
      <c r="H21">
        <v>0</v>
      </c>
      <c r="I21">
        <v>-1.78</v>
      </c>
      <c r="J21">
        <v>20.62</v>
      </c>
      <c r="K21">
        <v>0</v>
      </c>
      <c r="L21">
        <v>20.62</v>
      </c>
      <c r="M21">
        <v>2</v>
      </c>
    </row>
    <row r="22" spans="1:13" hidden="1" x14ac:dyDescent="0.2">
      <c r="A22" t="s">
        <v>600</v>
      </c>
      <c r="B22" t="s">
        <v>14</v>
      </c>
      <c r="C22">
        <v>850306006233</v>
      </c>
      <c r="D22" t="s">
        <v>18</v>
      </c>
      <c r="E22">
        <v>1</v>
      </c>
      <c r="F22">
        <v>20.7</v>
      </c>
      <c r="G22">
        <v>0</v>
      </c>
      <c r="H22">
        <v>0</v>
      </c>
      <c r="I22">
        <v>0</v>
      </c>
      <c r="J22">
        <v>20.7</v>
      </c>
      <c r="K22">
        <v>0</v>
      </c>
      <c r="L22">
        <v>20.7</v>
      </c>
      <c r="M22">
        <v>1</v>
      </c>
    </row>
    <row r="23" spans="1:13" hidden="1" x14ac:dyDescent="0.2">
      <c r="A23" t="s">
        <v>24</v>
      </c>
      <c r="B23" t="s">
        <v>14</v>
      </c>
      <c r="C23">
        <v>9325239001019</v>
      </c>
      <c r="D23" t="s">
        <v>18</v>
      </c>
      <c r="E23">
        <v>2</v>
      </c>
      <c r="F23">
        <v>20</v>
      </c>
      <c r="G23">
        <v>0</v>
      </c>
      <c r="H23">
        <v>0</v>
      </c>
      <c r="I23">
        <v>0</v>
      </c>
      <c r="J23">
        <v>20</v>
      </c>
      <c r="K23">
        <v>0</v>
      </c>
      <c r="L23">
        <v>20</v>
      </c>
      <c r="M23">
        <v>2</v>
      </c>
    </row>
    <row r="24" spans="1:13" hidden="1" x14ac:dyDescent="0.2">
      <c r="A24" t="s">
        <v>595</v>
      </c>
      <c r="B24" t="s">
        <v>14</v>
      </c>
      <c r="C24">
        <v>9358153000110</v>
      </c>
      <c r="D24" t="s">
        <v>18</v>
      </c>
      <c r="E24">
        <v>1</v>
      </c>
      <c r="F24">
        <v>19</v>
      </c>
      <c r="G24">
        <v>0</v>
      </c>
      <c r="H24">
        <v>0</v>
      </c>
      <c r="I24">
        <v>0</v>
      </c>
      <c r="J24">
        <v>19</v>
      </c>
      <c r="K24">
        <v>0</v>
      </c>
      <c r="L24">
        <v>19</v>
      </c>
      <c r="M24">
        <v>1</v>
      </c>
    </row>
    <row r="25" spans="1:13" hidden="1" x14ac:dyDescent="0.2">
      <c r="A25" t="s">
        <v>280</v>
      </c>
      <c r="B25" t="s">
        <v>14</v>
      </c>
      <c r="C25">
        <v>9325239000074</v>
      </c>
      <c r="D25" t="s">
        <v>18</v>
      </c>
      <c r="E25">
        <v>2</v>
      </c>
      <c r="F25">
        <v>18.8</v>
      </c>
      <c r="G25">
        <v>0</v>
      </c>
      <c r="H25">
        <v>0</v>
      </c>
      <c r="I25">
        <v>-2.82</v>
      </c>
      <c r="J25">
        <v>15.98</v>
      </c>
      <c r="K25">
        <v>0</v>
      </c>
      <c r="L25">
        <v>15.98</v>
      </c>
      <c r="M25">
        <v>2</v>
      </c>
    </row>
    <row r="26" spans="1:13" x14ac:dyDescent="0.2">
      <c r="A26" t="s">
        <v>499</v>
      </c>
      <c r="B26" t="s">
        <v>14</v>
      </c>
      <c r="C26">
        <v>5032722312227</v>
      </c>
      <c r="D26" t="s">
        <v>18</v>
      </c>
      <c r="E26">
        <v>2</v>
      </c>
      <c r="F26">
        <v>18.600000000000001</v>
      </c>
      <c r="G26">
        <v>0</v>
      </c>
      <c r="H26">
        <v>0</v>
      </c>
      <c r="I26">
        <v>-0.6</v>
      </c>
      <c r="J26">
        <v>18</v>
      </c>
      <c r="K26">
        <v>0</v>
      </c>
      <c r="L26">
        <v>18</v>
      </c>
      <c r="M26">
        <v>2</v>
      </c>
    </row>
    <row r="27" spans="1:13" hidden="1" x14ac:dyDescent="0.2">
      <c r="A27" t="s">
        <v>324</v>
      </c>
      <c r="B27" t="s">
        <v>14</v>
      </c>
      <c r="C27">
        <v>9325239000098</v>
      </c>
      <c r="D27" t="s">
        <v>18</v>
      </c>
      <c r="E27">
        <v>2</v>
      </c>
      <c r="F27">
        <v>17.899999999999999</v>
      </c>
      <c r="G27">
        <v>0</v>
      </c>
      <c r="H27">
        <v>0</v>
      </c>
      <c r="I27">
        <v>0</v>
      </c>
      <c r="J27">
        <v>17.899999999999999</v>
      </c>
      <c r="K27">
        <v>0</v>
      </c>
      <c r="L27">
        <v>17.899999999999999</v>
      </c>
      <c r="M27">
        <v>2</v>
      </c>
    </row>
    <row r="28" spans="1:13" hidden="1" x14ac:dyDescent="0.2">
      <c r="A28" t="s">
        <v>446</v>
      </c>
      <c r="B28" t="s">
        <v>14</v>
      </c>
      <c r="C28">
        <v>735850488790</v>
      </c>
      <c r="D28" t="s">
        <v>18</v>
      </c>
      <c r="E28">
        <v>1</v>
      </c>
      <c r="F28">
        <v>17.5</v>
      </c>
      <c r="G28">
        <v>0</v>
      </c>
      <c r="H28">
        <v>0</v>
      </c>
      <c r="I28">
        <v>0</v>
      </c>
      <c r="J28">
        <v>17.5</v>
      </c>
      <c r="K28">
        <v>0</v>
      </c>
      <c r="L28">
        <v>17.5</v>
      </c>
      <c r="M28">
        <v>1</v>
      </c>
    </row>
    <row r="29" spans="1:13" hidden="1" x14ac:dyDescent="0.2">
      <c r="A29" t="s">
        <v>601</v>
      </c>
      <c r="B29" t="s">
        <v>14</v>
      </c>
      <c r="C29">
        <v>9327546002154</v>
      </c>
      <c r="D29" t="s">
        <v>18</v>
      </c>
      <c r="E29">
        <v>1</v>
      </c>
      <c r="F29">
        <v>17.2</v>
      </c>
      <c r="G29">
        <v>0</v>
      </c>
      <c r="H29">
        <v>0</v>
      </c>
      <c r="I29">
        <v>-0.51</v>
      </c>
      <c r="J29">
        <v>16.690000000000001</v>
      </c>
      <c r="K29">
        <v>0</v>
      </c>
      <c r="L29">
        <v>16.690000000000001</v>
      </c>
      <c r="M29">
        <v>1</v>
      </c>
    </row>
    <row r="30" spans="1:13" hidden="1" x14ac:dyDescent="0.2">
      <c r="A30" t="s">
        <v>503</v>
      </c>
      <c r="B30" t="s">
        <v>14</v>
      </c>
      <c r="C30">
        <v>9312336022122</v>
      </c>
      <c r="D30" t="s">
        <v>18</v>
      </c>
      <c r="E30">
        <v>2</v>
      </c>
      <c r="F30">
        <v>14.2</v>
      </c>
      <c r="G30">
        <v>0</v>
      </c>
      <c r="H30">
        <v>0</v>
      </c>
      <c r="I30">
        <v>0</v>
      </c>
      <c r="J30">
        <v>14.2</v>
      </c>
      <c r="K30">
        <v>0</v>
      </c>
      <c r="L30">
        <v>14.2</v>
      </c>
      <c r="M30">
        <v>2</v>
      </c>
    </row>
    <row r="31" spans="1:13" hidden="1" x14ac:dyDescent="0.2">
      <c r="A31" t="s">
        <v>444</v>
      </c>
      <c r="B31" t="s">
        <v>14</v>
      </c>
      <c r="C31">
        <v>9311254002490</v>
      </c>
      <c r="D31" t="s">
        <v>18</v>
      </c>
      <c r="E31">
        <v>1</v>
      </c>
      <c r="F31">
        <v>14.1</v>
      </c>
      <c r="G31">
        <v>0</v>
      </c>
      <c r="H31">
        <v>0</v>
      </c>
      <c r="I31">
        <v>0</v>
      </c>
      <c r="J31">
        <v>14.1</v>
      </c>
      <c r="K31">
        <v>0</v>
      </c>
      <c r="L31">
        <v>14.1</v>
      </c>
      <c r="M31">
        <v>1</v>
      </c>
    </row>
    <row r="32" spans="1:13" hidden="1" x14ac:dyDescent="0.2">
      <c r="A32" t="s">
        <v>366</v>
      </c>
      <c r="B32" t="s">
        <v>14</v>
      </c>
      <c r="C32">
        <v>9311254002711</v>
      </c>
      <c r="D32" t="s">
        <v>18</v>
      </c>
      <c r="E32">
        <v>1</v>
      </c>
      <c r="F32">
        <v>14.1</v>
      </c>
      <c r="G32">
        <v>0</v>
      </c>
      <c r="H32">
        <v>0</v>
      </c>
      <c r="I32">
        <v>0</v>
      </c>
      <c r="J32">
        <v>14.1</v>
      </c>
      <c r="K32">
        <v>0</v>
      </c>
      <c r="L32">
        <v>14.1</v>
      </c>
      <c r="M32">
        <v>1</v>
      </c>
    </row>
    <row r="33" spans="1:13" hidden="1" x14ac:dyDescent="0.2">
      <c r="A33" t="s">
        <v>593</v>
      </c>
      <c r="B33" t="s">
        <v>14</v>
      </c>
      <c r="C33">
        <v>9311254001448</v>
      </c>
      <c r="D33" t="s">
        <v>18</v>
      </c>
      <c r="E33">
        <v>1</v>
      </c>
      <c r="F33">
        <v>12.45</v>
      </c>
      <c r="G33">
        <v>0</v>
      </c>
      <c r="H33">
        <v>0</v>
      </c>
      <c r="I33">
        <v>0</v>
      </c>
      <c r="J33">
        <v>12.45</v>
      </c>
      <c r="K33">
        <v>0</v>
      </c>
      <c r="L33">
        <v>12.45</v>
      </c>
      <c r="M33">
        <v>1</v>
      </c>
    </row>
    <row r="34" spans="1:13" hidden="1" x14ac:dyDescent="0.2">
      <c r="A34" t="s">
        <v>598</v>
      </c>
      <c r="B34" t="s">
        <v>14</v>
      </c>
      <c r="C34">
        <v>9325239000739</v>
      </c>
      <c r="D34" t="s">
        <v>18</v>
      </c>
      <c r="E34">
        <v>1</v>
      </c>
      <c r="F34">
        <v>10.199999999999999</v>
      </c>
      <c r="G34">
        <v>0</v>
      </c>
      <c r="H34">
        <v>0</v>
      </c>
      <c r="I34">
        <v>-2.04</v>
      </c>
      <c r="J34">
        <v>8.16</v>
      </c>
      <c r="K34">
        <v>0</v>
      </c>
      <c r="L34">
        <v>8.16</v>
      </c>
      <c r="M34">
        <v>1</v>
      </c>
    </row>
    <row r="35" spans="1:13" x14ac:dyDescent="0.2">
      <c r="A35" t="s">
        <v>500</v>
      </c>
      <c r="B35" t="s">
        <v>14</v>
      </c>
      <c r="C35">
        <v>5032722305953</v>
      </c>
      <c r="D35" t="s">
        <v>18</v>
      </c>
      <c r="E35">
        <v>1</v>
      </c>
      <c r="F35">
        <v>9.3000000000000007</v>
      </c>
      <c r="G35">
        <v>0</v>
      </c>
      <c r="H35">
        <v>0</v>
      </c>
      <c r="I35">
        <v>0</v>
      </c>
      <c r="J35">
        <v>9.3000000000000007</v>
      </c>
      <c r="K35">
        <v>0</v>
      </c>
      <c r="L35">
        <v>9.3000000000000007</v>
      </c>
      <c r="M35">
        <v>1</v>
      </c>
    </row>
    <row r="36" spans="1:13" hidden="1" x14ac:dyDescent="0.2">
      <c r="A36" t="s">
        <v>21</v>
      </c>
      <c r="B36" t="s">
        <v>14</v>
      </c>
      <c r="C36">
        <v>9325239000036</v>
      </c>
      <c r="D36" t="s">
        <v>18</v>
      </c>
      <c r="E36">
        <v>1</v>
      </c>
      <c r="F36">
        <v>8.9499999999999993</v>
      </c>
      <c r="G36">
        <v>0</v>
      </c>
      <c r="H36">
        <v>0</v>
      </c>
      <c r="I36">
        <v>-1.79</v>
      </c>
      <c r="J36">
        <v>7.16</v>
      </c>
      <c r="K36">
        <v>0</v>
      </c>
      <c r="L36">
        <v>7.16</v>
      </c>
      <c r="M36">
        <v>1</v>
      </c>
    </row>
    <row r="37" spans="1:13" hidden="1" x14ac:dyDescent="0.2">
      <c r="A37" t="s">
        <v>407</v>
      </c>
      <c r="B37" t="s">
        <v>14</v>
      </c>
      <c r="C37">
        <v>4000446001025</v>
      </c>
      <c r="D37" t="s">
        <v>18</v>
      </c>
      <c r="E37">
        <v>2</v>
      </c>
      <c r="F37">
        <v>8.8000000000000007</v>
      </c>
      <c r="G37">
        <v>0</v>
      </c>
      <c r="H37">
        <v>0</v>
      </c>
      <c r="I37">
        <v>0</v>
      </c>
      <c r="J37">
        <v>8.8000000000000007</v>
      </c>
      <c r="K37">
        <v>0</v>
      </c>
      <c r="L37">
        <v>8.8000000000000007</v>
      </c>
      <c r="M37">
        <v>2</v>
      </c>
    </row>
    <row r="38" spans="1:13" hidden="1" x14ac:dyDescent="0.2">
      <c r="A38" t="s">
        <v>502</v>
      </c>
      <c r="B38" t="s">
        <v>14</v>
      </c>
      <c r="C38">
        <v>4000446011376</v>
      </c>
      <c r="D38" t="s">
        <v>18</v>
      </c>
      <c r="E38">
        <v>1</v>
      </c>
      <c r="F38">
        <v>7.75</v>
      </c>
      <c r="G38">
        <v>0</v>
      </c>
      <c r="H38">
        <v>0</v>
      </c>
      <c r="I38">
        <v>0</v>
      </c>
      <c r="J38">
        <v>7.75</v>
      </c>
      <c r="K38">
        <v>0</v>
      </c>
      <c r="L38">
        <v>7.75</v>
      </c>
      <c r="M38">
        <v>1</v>
      </c>
    </row>
    <row r="39" spans="1:13" hidden="1" x14ac:dyDescent="0.2">
      <c r="A39" t="s">
        <v>599</v>
      </c>
      <c r="B39" t="s">
        <v>14</v>
      </c>
      <c r="C39">
        <v>9325239000685</v>
      </c>
      <c r="D39" t="s">
        <v>18</v>
      </c>
      <c r="E39">
        <v>1</v>
      </c>
      <c r="F39">
        <v>6.1</v>
      </c>
      <c r="G39">
        <v>0</v>
      </c>
      <c r="H39">
        <v>0</v>
      </c>
      <c r="I39">
        <v>0</v>
      </c>
      <c r="J39">
        <v>6.1</v>
      </c>
      <c r="K39">
        <v>0</v>
      </c>
      <c r="L39">
        <v>6.1</v>
      </c>
      <c r="M39">
        <v>1</v>
      </c>
    </row>
    <row r="40" spans="1:13" hidden="1" x14ac:dyDescent="0.2">
      <c r="A40" t="s">
        <v>594</v>
      </c>
      <c r="B40" t="s">
        <v>14</v>
      </c>
      <c r="C40">
        <v>9320895001854</v>
      </c>
      <c r="D40" t="s">
        <v>18</v>
      </c>
      <c r="E40">
        <v>1</v>
      </c>
      <c r="F40">
        <v>6.1</v>
      </c>
      <c r="G40">
        <v>0</v>
      </c>
      <c r="H40">
        <v>0</v>
      </c>
      <c r="I40">
        <v>0</v>
      </c>
      <c r="J40">
        <v>6.1</v>
      </c>
      <c r="K40">
        <v>0</v>
      </c>
      <c r="L40">
        <v>6.1</v>
      </c>
      <c r="M40">
        <v>1</v>
      </c>
    </row>
  </sheetData>
  <pageMargins left="0.7" right="0.7" top="0.75" bottom="0.75" header="0.3" footer="0.3"/>
  <pageSetup paperSize="9" orientation="portrait" horizontalDpi="0" verticalDpi="0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E8355C-B7D0-E64B-A450-CA9A24621FC3}">
  <dimension ref="A1:M7"/>
  <sheetViews>
    <sheetView workbookViewId="0">
      <selection activeCell="A3" sqref="A3:M7"/>
    </sheetView>
  </sheetViews>
  <sheetFormatPr baseColWidth="10" defaultRowHeight="16" x14ac:dyDescent="0.2"/>
  <cols>
    <col min="1" max="1" width="37.33203125" bestFit="1" customWidth="1"/>
    <col min="2" max="2" width="15.33203125" bestFit="1" customWidth="1"/>
    <col min="3" max="3" width="12.1640625" bestFit="1" customWidth="1"/>
    <col min="4" max="4" width="11.1640625" bestFit="1" customWidth="1"/>
    <col min="5" max="5" width="12.33203125" bestFit="1" customWidth="1"/>
    <col min="6" max="6" width="15" bestFit="1" customWidth="1"/>
    <col min="7" max="7" width="16.6640625" bestFit="1" customWidth="1"/>
    <col min="8" max="8" width="11" bestFit="1" customWidth="1"/>
    <col min="9" max="9" width="20.1640625" bestFit="1" customWidth="1"/>
    <col min="10" max="10" width="11.5" bestFit="1" customWidth="1"/>
    <col min="11" max="11" width="11" bestFit="1" customWidth="1"/>
    <col min="12" max="12" width="13.5" bestFit="1" customWidth="1"/>
    <col min="13" max="13" width="11.83203125" bestFit="1" customWidth="1"/>
  </cols>
  <sheetData>
    <row r="1" spans="1:13" x14ac:dyDescent="0.2">
      <c r="A1" s="4" t="s">
        <v>730</v>
      </c>
    </row>
    <row r="3" spans="1:13" x14ac:dyDescent="0.2">
      <c r="A3" t="s">
        <v>0</v>
      </c>
      <c r="B3" t="s">
        <v>1</v>
      </c>
      <c r="C3" t="s">
        <v>2</v>
      </c>
      <c r="D3" t="s">
        <v>3</v>
      </c>
      <c r="E3" t="s">
        <v>4</v>
      </c>
      <c r="F3" t="s">
        <v>5</v>
      </c>
      <c r="G3" t="s">
        <v>6</v>
      </c>
      <c r="H3" t="s">
        <v>7</v>
      </c>
      <c r="I3" t="s">
        <v>8</v>
      </c>
      <c r="J3" t="s">
        <v>9</v>
      </c>
      <c r="K3" t="s">
        <v>10</v>
      </c>
      <c r="L3" t="s">
        <v>11</v>
      </c>
      <c r="M3" t="s">
        <v>12</v>
      </c>
    </row>
    <row r="4" spans="1:13" x14ac:dyDescent="0.2">
      <c r="A4" t="s">
        <v>546</v>
      </c>
      <c r="B4" t="s">
        <v>14</v>
      </c>
      <c r="C4">
        <v>9310625012120</v>
      </c>
      <c r="D4" t="s">
        <v>115</v>
      </c>
      <c r="E4">
        <v>11</v>
      </c>
      <c r="F4">
        <v>137.5</v>
      </c>
      <c r="G4">
        <v>0</v>
      </c>
      <c r="H4">
        <v>0</v>
      </c>
      <c r="I4">
        <v>-2.2200000000000002</v>
      </c>
      <c r="J4">
        <v>135.28</v>
      </c>
      <c r="K4">
        <v>0</v>
      </c>
      <c r="L4">
        <v>135.28</v>
      </c>
      <c r="M4">
        <v>11</v>
      </c>
    </row>
    <row r="5" spans="1:13" x14ac:dyDescent="0.2">
      <c r="A5" t="s">
        <v>662</v>
      </c>
      <c r="B5" t="s">
        <v>14</v>
      </c>
      <c r="C5">
        <v>659359585524</v>
      </c>
      <c r="D5" t="s">
        <v>115</v>
      </c>
      <c r="E5">
        <v>17</v>
      </c>
      <c r="F5">
        <v>271.75</v>
      </c>
      <c r="G5">
        <v>0</v>
      </c>
      <c r="H5">
        <v>0</v>
      </c>
      <c r="I5">
        <v>-12.37</v>
      </c>
      <c r="J5">
        <v>259.38</v>
      </c>
      <c r="K5">
        <v>0</v>
      </c>
      <c r="L5">
        <v>259.38</v>
      </c>
      <c r="M5">
        <v>17</v>
      </c>
    </row>
    <row r="6" spans="1:13" x14ac:dyDescent="0.2">
      <c r="A6" t="s">
        <v>313</v>
      </c>
      <c r="B6" t="s">
        <v>14</v>
      </c>
      <c r="C6">
        <v>9349663002015</v>
      </c>
      <c r="D6" t="s">
        <v>115</v>
      </c>
      <c r="E6">
        <v>17</v>
      </c>
      <c r="F6">
        <v>326.39999999999998</v>
      </c>
      <c r="G6">
        <v>0</v>
      </c>
      <c r="H6">
        <v>0</v>
      </c>
      <c r="I6">
        <v>-9.82</v>
      </c>
      <c r="J6">
        <v>316.58</v>
      </c>
      <c r="K6">
        <v>0</v>
      </c>
      <c r="L6">
        <v>316.58</v>
      </c>
      <c r="M6">
        <v>17</v>
      </c>
    </row>
    <row r="7" spans="1:13" x14ac:dyDescent="0.2">
      <c r="A7" t="s">
        <v>469</v>
      </c>
      <c r="B7" t="s">
        <v>14</v>
      </c>
      <c r="C7">
        <v>80687433261</v>
      </c>
      <c r="D7" t="s">
        <v>115</v>
      </c>
      <c r="E7">
        <v>1</v>
      </c>
      <c r="F7">
        <v>18.8</v>
      </c>
      <c r="G7">
        <v>0</v>
      </c>
      <c r="H7">
        <v>0</v>
      </c>
      <c r="I7">
        <v>0</v>
      </c>
      <c r="J7">
        <v>18.8</v>
      </c>
      <c r="K7">
        <v>0</v>
      </c>
      <c r="L7">
        <v>18.8</v>
      </c>
      <c r="M7">
        <v>1</v>
      </c>
    </row>
  </sheetData>
  <pageMargins left="0.7" right="0.7" top="0.75" bottom="0.75" header="0.3" footer="0.3"/>
  <pageSetup paperSize="9" orientation="portrait" horizontalDpi="0" verticalDpi="0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DBF7B0-A1EE-0A4A-B915-798F0AED195C}">
  <dimension ref="A1:M53"/>
  <sheetViews>
    <sheetView workbookViewId="0">
      <selection activeCell="E1" sqref="E1:E1048576"/>
    </sheetView>
  </sheetViews>
  <sheetFormatPr baseColWidth="10" defaultRowHeight="16" x14ac:dyDescent="0.2"/>
  <cols>
    <col min="1" max="1" width="45" bestFit="1" customWidth="1"/>
    <col min="2" max="2" width="15.33203125" bestFit="1" customWidth="1"/>
    <col min="3" max="3" width="12.1640625" bestFit="1" customWidth="1"/>
    <col min="4" max="4" width="18.33203125" bestFit="1" customWidth="1"/>
    <col min="5" max="5" width="12.33203125" bestFit="1" customWidth="1"/>
    <col min="6" max="6" width="15" bestFit="1" customWidth="1"/>
    <col min="7" max="7" width="16.6640625" bestFit="1" customWidth="1"/>
    <col min="8" max="8" width="11" bestFit="1" customWidth="1"/>
    <col min="9" max="9" width="20.1640625" bestFit="1" customWidth="1"/>
    <col min="10" max="10" width="11.5" bestFit="1" customWidth="1"/>
    <col min="11" max="11" width="11" bestFit="1" customWidth="1"/>
    <col min="12" max="12" width="13.5" bestFit="1" customWidth="1"/>
    <col min="13" max="13" width="11.83203125" bestFit="1" customWidth="1"/>
  </cols>
  <sheetData>
    <row r="1" spans="1:13" x14ac:dyDescent="0.2">
      <c r="A1" s="4" t="s">
        <v>726</v>
      </c>
    </row>
    <row r="3" spans="1:13" x14ac:dyDescent="0.2">
      <c r="A3" t="s">
        <v>0</v>
      </c>
      <c r="B3" t="s">
        <v>1</v>
      </c>
      <c r="C3" t="s">
        <v>2</v>
      </c>
      <c r="D3" t="s">
        <v>3</v>
      </c>
      <c r="E3" t="s">
        <v>4</v>
      </c>
      <c r="F3" t="s">
        <v>5</v>
      </c>
      <c r="G3" t="s">
        <v>6</v>
      </c>
      <c r="H3" t="s">
        <v>7</v>
      </c>
      <c r="I3" t="s">
        <v>8</v>
      </c>
      <c r="J3" t="s">
        <v>9</v>
      </c>
      <c r="K3" t="s">
        <v>10</v>
      </c>
      <c r="L3" t="s">
        <v>11</v>
      </c>
      <c r="M3" t="s">
        <v>12</v>
      </c>
    </row>
    <row r="4" spans="1:13" x14ac:dyDescent="0.2">
      <c r="A4" t="s">
        <v>124</v>
      </c>
      <c r="B4" t="s">
        <v>14</v>
      </c>
      <c r="C4">
        <v>9354444000920</v>
      </c>
      <c r="D4" t="s">
        <v>116</v>
      </c>
      <c r="E4">
        <v>8</v>
      </c>
      <c r="F4">
        <v>42.17</v>
      </c>
      <c r="G4">
        <v>0</v>
      </c>
      <c r="H4">
        <v>0</v>
      </c>
      <c r="I4">
        <v>0</v>
      </c>
      <c r="J4">
        <v>42.17</v>
      </c>
      <c r="K4">
        <v>4.2300000000000004</v>
      </c>
      <c r="L4">
        <v>46.4</v>
      </c>
      <c r="M4">
        <v>8</v>
      </c>
    </row>
    <row r="5" spans="1:13" x14ac:dyDescent="0.2">
      <c r="A5" t="s">
        <v>123</v>
      </c>
      <c r="B5" t="s">
        <v>14</v>
      </c>
      <c r="C5">
        <v>9354444000036</v>
      </c>
      <c r="D5" t="s">
        <v>116</v>
      </c>
      <c r="E5">
        <v>16</v>
      </c>
      <c r="F5">
        <v>84.69</v>
      </c>
      <c r="G5">
        <v>0</v>
      </c>
      <c r="H5">
        <v>0</v>
      </c>
      <c r="I5">
        <v>-4.37</v>
      </c>
      <c r="J5">
        <v>80.319999999999993</v>
      </c>
      <c r="K5">
        <v>8.11</v>
      </c>
      <c r="L5">
        <v>88.43</v>
      </c>
      <c r="M5">
        <v>16</v>
      </c>
    </row>
    <row r="6" spans="1:13" x14ac:dyDescent="0.2">
      <c r="A6" t="s">
        <v>122</v>
      </c>
      <c r="B6" t="s">
        <v>14</v>
      </c>
      <c r="C6">
        <v>9354444000890</v>
      </c>
      <c r="D6" t="s">
        <v>116</v>
      </c>
      <c r="E6">
        <v>7</v>
      </c>
      <c r="F6">
        <v>36.880000000000003</v>
      </c>
      <c r="G6">
        <v>0</v>
      </c>
      <c r="H6">
        <v>0</v>
      </c>
      <c r="I6">
        <v>0</v>
      </c>
      <c r="J6">
        <v>36.880000000000003</v>
      </c>
      <c r="K6">
        <v>3.72</v>
      </c>
      <c r="L6">
        <v>40.6</v>
      </c>
      <c r="M6">
        <v>7</v>
      </c>
    </row>
    <row r="7" spans="1:13" x14ac:dyDescent="0.2">
      <c r="A7" t="s">
        <v>121</v>
      </c>
      <c r="B7" t="s">
        <v>14</v>
      </c>
      <c r="C7">
        <v>9354444000005</v>
      </c>
      <c r="D7" t="s">
        <v>116</v>
      </c>
      <c r="E7">
        <v>1</v>
      </c>
      <c r="F7">
        <v>5.27</v>
      </c>
      <c r="G7">
        <v>0</v>
      </c>
      <c r="H7">
        <v>0</v>
      </c>
      <c r="I7">
        <v>0</v>
      </c>
      <c r="J7">
        <v>5.27</v>
      </c>
      <c r="K7">
        <v>0.53</v>
      </c>
      <c r="L7">
        <v>5.8</v>
      </c>
      <c r="M7">
        <v>1</v>
      </c>
    </row>
    <row r="8" spans="1:13" x14ac:dyDescent="0.2">
      <c r="A8" t="s">
        <v>477</v>
      </c>
      <c r="B8" t="s">
        <v>14</v>
      </c>
      <c r="C8">
        <v>9354444002931</v>
      </c>
      <c r="D8" t="s">
        <v>116</v>
      </c>
      <c r="E8">
        <v>7</v>
      </c>
      <c r="F8">
        <v>36.89</v>
      </c>
      <c r="G8">
        <v>0</v>
      </c>
      <c r="H8">
        <v>0</v>
      </c>
      <c r="I8">
        <v>0</v>
      </c>
      <c r="J8">
        <v>36.89</v>
      </c>
      <c r="K8">
        <v>3.71</v>
      </c>
      <c r="L8">
        <v>40.6</v>
      </c>
      <c r="M8">
        <v>7</v>
      </c>
    </row>
    <row r="9" spans="1:13" x14ac:dyDescent="0.2">
      <c r="A9" t="s">
        <v>120</v>
      </c>
      <c r="B9" t="s">
        <v>14</v>
      </c>
      <c r="C9">
        <v>9354444002917</v>
      </c>
      <c r="D9" t="s">
        <v>116</v>
      </c>
      <c r="E9">
        <v>6</v>
      </c>
      <c r="F9">
        <v>31.71</v>
      </c>
      <c r="G9">
        <v>0</v>
      </c>
      <c r="H9">
        <v>0</v>
      </c>
      <c r="I9">
        <v>-1.1599999999999999</v>
      </c>
      <c r="J9">
        <v>30.55</v>
      </c>
      <c r="K9">
        <v>3.09</v>
      </c>
      <c r="L9">
        <v>33.64</v>
      </c>
      <c r="M9">
        <v>6</v>
      </c>
    </row>
    <row r="10" spans="1:13" hidden="1" x14ac:dyDescent="0.2">
      <c r="A10" t="s">
        <v>555</v>
      </c>
      <c r="B10" t="s">
        <v>14</v>
      </c>
      <c r="C10">
        <v>9309001434052</v>
      </c>
      <c r="D10" t="s">
        <v>116</v>
      </c>
      <c r="E10">
        <v>2</v>
      </c>
      <c r="F10">
        <v>40.869999999999997</v>
      </c>
      <c r="G10">
        <v>0</v>
      </c>
      <c r="H10">
        <v>0</v>
      </c>
      <c r="I10">
        <v>0</v>
      </c>
      <c r="J10">
        <v>40.869999999999997</v>
      </c>
      <c r="K10">
        <v>4.13</v>
      </c>
      <c r="L10">
        <v>45</v>
      </c>
      <c r="M10">
        <v>2</v>
      </c>
    </row>
    <row r="11" spans="1:13" hidden="1" x14ac:dyDescent="0.2">
      <c r="A11" t="s">
        <v>476</v>
      </c>
      <c r="B11" t="s">
        <v>14</v>
      </c>
      <c r="C11">
        <v>9309001434090</v>
      </c>
      <c r="D11" t="s">
        <v>116</v>
      </c>
      <c r="E11">
        <v>2</v>
      </c>
      <c r="F11">
        <v>40.909999999999997</v>
      </c>
      <c r="G11">
        <v>0</v>
      </c>
      <c r="H11">
        <v>0</v>
      </c>
      <c r="I11">
        <v>-0.55000000000000004</v>
      </c>
      <c r="J11">
        <v>40.36</v>
      </c>
      <c r="K11">
        <v>4.09</v>
      </c>
      <c r="L11">
        <v>44.45</v>
      </c>
      <c r="M11">
        <v>2</v>
      </c>
    </row>
    <row r="12" spans="1:13" hidden="1" x14ac:dyDescent="0.2">
      <c r="A12" t="s">
        <v>315</v>
      </c>
      <c r="B12" t="s">
        <v>14</v>
      </c>
      <c r="C12">
        <v>9309001434021</v>
      </c>
      <c r="D12" t="s">
        <v>116</v>
      </c>
      <c r="E12">
        <v>1</v>
      </c>
      <c r="F12">
        <v>5.22</v>
      </c>
      <c r="G12">
        <v>0</v>
      </c>
      <c r="H12">
        <v>0</v>
      </c>
      <c r="I12">
        <v>0</v>
      </c>
      <c r="J12">
        <v>5.22</v>
      </c>
      <c r="K12">
        <v>0.53</v>
      </c>
      <c r="L12">
        <v>5.75</v>
      </c>
      <c r="M12">
        <v>1</v>
      </c>
    </row>
    <row r="13" spans="1:13" hidden="1" x14ac:dyDescent="0.2">
      <c r="A13" t="s">
        <v>554</v>
      </c>
      <c r="B13" t="s">
        <v>14</v>
      </c>
      <c r="C13">
        <v>9309001434076</v>
      </c>
      <c r="D13" t="s">
        <v>116</v>
      </c>
      <c r="E13">
        <v>1</v>
      </c>
      <c r="F13">
        <v>20.43</v>
      </c>
      <c r="G13">
        <v>0</v>
      </c>
      <c r="H13">
        <v>0</v>
      </c>
      <c r="I13">
        <v>0</v>
      </c>
      <c r="J13">
        <v>20.43</v>
      </c>
      <c r="K13">
        <v>2.0699999999999998</v>
      </c>
      <c r="L13">
        <v>22.5</v>
      </c>
      <c r="M13">
        <v>1</v>
      </c>
    </row>
    <row r="14" spans="1:13" hidden="1" x14ac:dyDescent="0.2">
      <c r="A14" t="s">
        <v>376</v>
      </c>
      <c r="B14" t="s">
        <v>14</v>
      </c>
      <c r="C14">
        <v>9309001434007</v>
      </c>
      <c r="D14" t="s">
        <v>116</v>
      </c>
      <c r="E14">
        <v>1</v>
      </c>
      <c r="F14">
        <v>5.22</v>
      </c>
      <c r="G14">
        <v>0</v>
      </c>
      <c r="H14">
        <v>0</v>
      </c>
      <c r="I14">
        <v>0</v>
      </c>
      <c r="J14">
        <v>5.22</v>
      </c>
      <c r="K14">
        <v>0.53</v>
      </c>
      <c r="L14">
        <v>5.75</v>
      </c>
      <c r="M14">
        <v>1</v>
      </c>
    </row>
    <row r="15" spans="1:13" hidden="1" x14ac:dyDescent="0.2">
      <c r="A15" t="s">
        <v>553</v>
      </c>
      <c r="B15" t="s">
        <v>14</v>
      </c>
      <c r="C15">
        <v>9346190000552</v>
      </c>
      <c r="D15" t="s">
        <v>116</v>
      </c>
      <c r="E15">
        <v>3</v>
      </c>
      <c r="F15">
        <v>16.2</v>
      </c>
      <c r="G15">
        <v>0</v>
      </c>
      <c r="H15">
        <v>0</v>
      </c>
      <c r="I15">
        <v>0</v>
      </c>
      <c r="J15">
        <v>16.2</v>
      </c>
      <c r="K15">
        <v>1.65</v>
      </c>
      <c r="L15">
        <v>17.850000000000001</v>
      </c>
      <c r="M15">
        <v>3</v>
      </c>
    </row>
    <row r="16" spans="1:13" hidden="1" x14ac:dyDescent="0.2">
      <c r="A16" t="s">
        <v>475</v>
      </c>
      <c r="B16" t="s">
        <v>14</v>
      </c>
      <c r="C16">
        <v>9346190001634</v>
      </c>
      <c r="D16" t="s">
        <v>116</v>
      </c>
      <c r="E16">
        <v>3</v>
      </c>
      <c r="F16">
        <v>16.21</v>
      </c>
      <c r="G16">
        <v>0</v>
      </c>
      <c r="H16">
        <v>0</v>
      </c>
      <c r="I16">
        <v>0</v>
      </c>
      <c r="J16">
        <v>16.21</v>
      </c>
      <c r="K16">
        <v>1.64</v>
      </c>
      <c r="L16">
        <v>17.850000000000001</v>
      </c>
      <c r="M16">
        <v>3</v>
      </c>
    </row>
    <row r="17" spans="1:13" hidden="1" x14ac:dyDescent="0.2">
      <c r="A17" t="s">
        <v>424</v>
      </c>
      <c r="B17" t="s">
        <v>14</v>
      </c>
      <c r="C17">
        <v>9346190002068</v>
      </c>
      <c r="D17" t="s">
        <v>116</v>
      </c>
      <c r="E17">
        <v>1</v>
      </c>
      <c r="F17">
        <v>5.4</v>
      </c>
      <c r="G17">
        <v>0</v>
      </c>
      <c r="H17">
        <v>0</v>
      </c>
      <c r="I17">
        <v>0</v>
      </c>
      <c r="J17">
        <v>5.4</v>
      </c>
      <c r="K17">
        <v>0.55000000000000004</v>
      </c>
      <c r="L17">
        <v>5.95</v>
      </c>
      <c r="M17">
        <v>1</v>
      </c>
    </row>
    <row r="18" spans="1:13" hidden="1" x14ac:dyDescent="0.2">
      <c r="A18" t="s">
        <v>552</v>
      </c>
      <c r="B18" t="s">
        <v>14</v>
      </c>
      <c r="C18">
        <v>9346190000408</v>
      </c>
      <c r="D18" t="s">
        <v>116</v>
      </c>
      <c r="E18">
        <v>4</v>
      </c>
      <c r="F18">
        <v>21.61</v>
      </c>
      <c r="G18">
        <v>0</v>
      </c>
      <c r="H18">
        <v>0</v>
      </c>
      <c r="I18">
        <v>0</v>
      </c>
      <c r="J18">
        <v>21.61</v>
      </c>
      <c r="K18">
        <v>2.19</v>
      </c>
      <c r="L18">
        <v>23.8</v>
      </c>
      <c r="M18">
        <v>4</v>
      </c>
    </row>
    <row r="19" spans="1:13" hidden="1" x14ac:dyDescent="0.2">
      <c r="A19" t="s">
        <v>551</v>
      </c>
      <c r="B19" t="s">
        <v>14</v>
      </c>
      <c r="C19">
        <v>9346190000507</v>
      </c>
      <c r="D19" t="s">
        <v>116</v>
      </c>
      <c r="E19">
        <v>2</v>
      </c>
      <c r="F19">
        <v>10.91</v>
      </c>
      <c r="G19">
        <v>0</v>
      </c>
      <c r="H19">
        <v>0</v>
      </c>
      <c r="I19">
        <v>-1.19</v>
      </c>
      <c r="J19">
        <v>9.7200000000000006</v>
      </c>
      <c r="K19">
        <v>0.99</v>
      </c>
      <c r="L19">
        <v>10.71</v>
      </c>
      <c r="M19">
        <v>2</v>
      </c>
    </row>
    <row r="20" spans="1:13" hidden="1" x14ac:dyDescent="0.2">
      <c r="A20" t="s">
        <v>670</v>
      </c>
      <c r="B20" t="s">
        <v>14</v>
      </c>
      <c r="C20">
        <v>9346190000415</v>
      </c>
      <c r="D20" t="s">
        <v>116</v>
      </c>
      <c r="E20">
        <v>1</v>
      </c>
      <c r="F20">
        <v>5.09</v>
      </c>
      <c r="G20">
        <v>0</v>
      </c>
      <c r="H20">
        <v>0</v>
      </c>
      <c r="I20">
        <v>0</v>
      </c>
      <c r="J20">
        <v>5.09</v>
      </c>
      <c r="K20">
        <v>0.51</v>
      </c>
      <c r="L20">
        <v>5.6</v>
      </c>
      <c r="M20">
        <v>1</v>
      </c>
    </row>
    <row r="21" spans="1:13" hidden="1" x14ac:dyDescent="0.2">
      <c r="A21" t="s">
        <v>669</v>
      </c>
      <c r="B21" t="s">
        <v>14</v>
      </c>
      <c r="C21">
        <v>9346190000385</v>
      </c>
      <c r="D21" t="s">
        <v>116</v>
      </c>
      <c r="E21">
        <v>1</v>
      </c>
      <c r="F21">
        <v>5.09</v>
      </c>
      <c r="G21">
        <v>0</v>
      </c>
      <c r="H21">
        <v>0</v>
      </c>
      <c r="I21">
        <v>0</v>
      </c>
      <c r="J21">
        <v>5.09</v>
      </c>
      <c r="K21">
        <v>0.51</v>
      </c>
      <c r="L21">
        <v>5.6</v>
      </c>
      <c r="M21">
        <v>1</v>
      </c>
    </row>
    <row r="22" spans="1:13" hidden="1" x14ac:dyDescent="0.2">
      <c r="A22" t="s">
        <v>119</v>
      </c>
      <c r="B22" t="s">
        <v>14</v>
      </c>
      <c r="C22">
        <v>661646992496</v>
      </c>
      <c r="D22" t="s">
        <v>116</v>
      </c>
      <c r="E22">
        <v>6</v>
      </c>
      <c r="F22">
        <v>37.869999999999997</v>
      </c>
      <c r="G22">
        <v>0</v>
      </c>
      <c r="H22">
        <v>0</v>
      </c>
      <c r="I22">
        <v>0</v>
      </c>
      <c r="J22">
        <v>37.869999999999997</v>
      </c>
      <c r="K22">
        <v>3.83</v>
      </c>
      <c r="L22">
        <v>41.7</v>
      </c>
      <c r="M22">
        <v>6</v>
      </c>
    </row>
    <row r="23" spans="1:13" hidden="1" x14ac:dyDescent="0.2">
      <c r="A23" t="s">
        <v>423</v>
      </c>
      <c r="B23" t="s">
        <v>14</v>
      </c>
      <c r="C23">
        <v>661646992502</v>
      </c>
      <c r="D23" t="s">
        <v>116</v>
      </c>
      <c r="E23">
        <v>5</v>
      </c>
      <c r="F23">
        <v>31.55</v>
      </c>
      <c r="G23">
        <v>0</v>
      </c>
      <c r="H23">
        <v>0</v>
      </c>
      <c r="I23">
        <v>0</v>
      </c>
      <c r="J23">
        <v>31.55</v>
      </c>
      <c r="K23">
        <v>3.2</v>
      </c>
      <c r="L23">
        <v>34.75</v>
      </c>
      <c r="M23">
        <v>5</v>
      </c>
    </row>
    <row r="24" spans="1:13" hidden="1" x14ac:dyDescent="0.2">
      <c r="A24" t="s">
        <v>289</v>
      </c>
      <c r="B24" t="s">
        <v>14</v>
      </c>
      <c r="C24">
        <v>661646992519</v>
      </c>
      <c r="D24" t="s">
        <v>116</v>
      </c>
      <c r="E24">
        <v>7</v>
      </c>
      <c r="F24">
        <v>44.17</v>
      </c>
      <c r="G24">
        <v>0</v>
      </c>
      <c r="H24">
        <v>0</v>
      </c>
      <c r="I24">
        <v>0</v>
      </c>
      <c r="J24">
        <v>44.17</v>
      </c>
      <c r="K24">
        <v>4.4800000000000004</v>
      </c>
      <c r="L24">
        <v>48.65</v>
      </c>
      <c r="M24">
        <v>7</v>
      </c>
    </row>
    <row r="25" spans="1:13" hidden="1" x14ac:dyDescent="0.2">
      <c r="A25" t="s">
        <v>349</v>
      </c>
      <c r="B25" t="s">
        <v>14</v>
      </c>
      <c r="C25">
        <v>661646992656</v>
      </c>
      <c r="D25" t="s">
        <v>116</v>
      </c>
      <c r="E25">
        <v>1</v>
      </c>
      <c r="F25">
        <v>6.31</v>
      </c>
      <c r="G25">
        <v>0</v>
      </c>
      <c r="H25">
        <v>0</v>
      </c>
      <c r="I25">
        <v>0</v>
      </c>
      <c r="J25">
        <v>6.31</v>
      </c>
      <c r="K25">
        <v>0.64</v>
      </c>
      <c r="L25">
        <v>6.95</v>
      </c>
      <c r="M25">
        <v>1</v>
      </c>
    </row>
    <row r="26" spans="1:13" hidden="1" x14ac:dyDescent="0.2">
      <c r="A26" t="s">
        <v>422</v>
      </c>
      <c r="B26" t="s">
        <v>14</v>
      </c>
      <c r="C26">
        <v>9351209004698</v>
      </c>
      <c r="D26" t="s">
        <v>116</v>
      </c>
      <c r="E26">
        <v>2</v>
      </c>
      <c r="F26">
        <v>10.08</v>
      </c>
      <c r="G26">
        <v>0</v>
      </c>
      <c r="H26">
        <v>0</v>
      </c>
      <c r="I26">
        <v>0</v>
      </c>
      <c r="J26">
        <v>10.08</v>
      </c>
      <c r="K26">
        <v>1.02</v>
      </c>
      <c r="L26">
        <v>11.1</v>
      </c>
      <c r="M26">
        <v>2</v>
      </c>
    </row>
    <row r="27" spans="1:13" hidden="1" x14ac:dyDescent="0.2">
      <c r="A27" t="s">
        <v>396</v>
      </c>
      <c r="B27" t="s">
        <v>14</v>
      </c>
      <c r="C27">
        <v>93559959</v>
      </c>
      <c r="D27" t="s">
        <v>116</v>
      </c>
      <c r="E27">
        <v>4</v>
      </c>
      <c r="F27">
        <v>17.2</v>
      </c>
      <c r="G27">
        <v>0</v>
      </c>
      <c r="H27">
        <v>0</v>
      </c>
      <c r="I27">
        <v>0</v>
      </c>
      <c r="J27">
        <v>17.2</v>
      </c>
      <c r="K27">
        <v>0</v>
      </c>
      <c r="L27">
        <v>17.2</v>
      </c>
      <c r="M27">
        <v>4</v>
      </c>
    </row>
    <row r="28" spans="1:13" hidden="1" x14ac:dyDescent="0.2">
      <c r="A28" t="s">
        <v>550</v>
      </c>
      <c r="B28" t="s">
        <v>14</v>
      </c>
      <c r="C28">
        <v>93559928</v>
      </c>
      <c r="D28" t="s">
        <v>116</v>
      </c>
      <c r="E28">
        <v>2</v>
      </c>
      <c r="F28">
        <v>8.6</v>
      </c>
      <c r="G28">
        <v>0</v>
      </c>
      <c r="H28">
        <v>0</v>
      </c>
      <c r="I28">
        <v>0</v>
      </c>
      <c r="J28">
        <v>8.6</v>
      </c>
      <c r="K28">
        <v>0</v>
      </c>
      <c r="L28">
        <v>8.6</v>
      </c>
      <c r="M28">
        <v>2</v>
      </c>
    </row>
    <row r="29" spans="1:13" hidden="1" x14ac:dyDescent="0.2">
      <c r="A29" t="s">
        <v>668</v>
      </c>
      <c r="B29" t="s">
        <v>14</v>
      </c>
      <c r="C29">
        <v>9349900000002</v>
      </c>
      <c r="D29" t="s">
        <v>116</v>
      </c>
      <c r="E29">
        <v>1</v>
      </c>
      <c r="F29">
        <v>7.9</v>
      </c>
      <c r="G29">
        <v>0</v>
      </c>
      <c r="H29">
        <v>0</v>
      </c>
      <c r="I29">
        <v>0</v>
      </c>
      <c r="J29">
        <v>7.9</v>
      </c>
      <c r="K29">
        <v>0</v>
      </c>
      <c r="L29">
        <v>7.9</v>
      </c>
      <c r="M29">
        <v>1</v>
      </c>
    </row>
    <row r="30" spans="1:13" hidden="1" x14ac:dyDescent="0.2">
      <c r="A30" t="s">
        <v>474</v>
      </c>
      <c r="B30" t="s">
        <v>14</v>
      </c>
      <c r="C30">
        <v>9349900000040</v>
      </c>
      <c r="D30" t="s">
        <v>116</v>
      </c>
      <c r="E30">
        <v>4</v>
      </c>
      <c r="F30">
        <v>31.6</v>
      </c>
      <c r="G30">
        <v>0</v>
      </c>
      <c r="H30">
        <v>0</v>
      </c>
      <c r="I30">
        <v>-0.35</v>
      </c>
      <c r="J30">
        <v>31.25</v>
      </c>
      <c r="K30">
        <v>0</v>
      </c>
      <c r="L30">
        <v>31.25</v>
      </c>
      <c r="M30">
        <v>4</v>
      </c>
    </row>
    <row r="31" spans="1:13" hidden="1" x14ac:dyDescent="0.2">
      <c r="A31" t="s">
        <v>473</v>
      </c>
      <c r="B31" t="s">
        <v>14</v>
      </c>
      <c r="C31">
        <v>9353707000981</v>
      </c>
      <c r="D31" t="s">
        <v>116</v>
      </c>
      <c r="E31">
        <v>1</v>
      </c>
      <c r="F31">
        <v>5.33</v>
      </c>
      <c r="G31">
        <v>0</v>
      </c>
      <c r="H31">
        <v>0</v>
      </c>
      <c r="I31">
        <v>-1.1499999999999999</v>
      </c>
      <c r="J31">
        <v>4.18</v>
      </c>
      <c r="K31">
        <v>0.42</v>
      </c>
      <c r="L31">
        <v>4.5999999999999996</v>
      </c>
      <c r="M31">
        <v>1</v>
      </c>
    </row>
    <row r="32" spans="1:13" hidden="1" x14ac:dyDescent="0.2">
      <c r="A32" t="s">
        <v>667</v>
      </c>
      <c r="B32" t="s">
        <v>14</v>
      </c>
      <c r="C32">
        <v>9353707000349</v>
      </c>
      <c r="D32" t="s">
        <v>116</v>
      </c>
      <c r="E32">
        <v>3</v>
      </c>
      <c r="F32">
        <v>15.99</v>
      </c>
      <c r="G32">
        <v>0</v>
      </c>
      <c r="H32">
        <v>0</v>
      </c>
      <c r="I32">
        <v>-3.45</v>
      </c>
      <c r="J32">
        <v>12.54</v>
      </c>
      <c r="K32">
        <v>1.26</v>
      </c>
      <c r="L32">
        <v>13.8</v>
      </c>
      <c r="M32">
        <v>3</v>
      </c>
    </row>
    <row r="33" spans="1:13" hidden="1" x14ac:dyDescent="0.2">
      <c r="A33" t="s">
        <v>666</v>
      </c>
      <c r="B33" t="s">
        <v>14</v>
      </c>
      <c r="C33">
        <v>9353707000301</v>
      </c>
      <c r="D33" t="s">
        <v>116</v>
      </c>
      <c r="E33">
        <v>1</v>
      </c>
      <c r="F33">
        <v>4.59</v>
      </c>
      <c r="G33">
        <v>0</v>
      </c>
      <c r="H33">
        <v>0</v>
      </c>
      <c r="I33">
        <v>-0.99</v>
      </c>
      <c r="J33">
        <v>3.6</v>
      </c>
      <c r="K33">
        <v>0.36</v>
      </c>
      <c r="L33">
        <v>3.96</v>
      </c>
      <c r="M33">
        <v>1</v>
      </c>
    </row>
    <row r="34" spans="1:13" hidden="1" x14ac:dyDescent="0.2">
      <c r="A34" t="s">
        <v>421</v>
      </c>
      <c r="B34" t="s">
        <v>14</v>
      </c>
      <c r="C34">
        <v>9369998407569</v>
      </c>
      <c r="D34" t="s">
        <v>116</v>
      </c>
      <c r="E34">
        <v>2</v>
      </c>
      <c r="F34">
        <v>8.99</v>
      </c>
      <c r="G34">
        <v>0</v>
      </c>
      <c r="H34">
        <v>0</v>
      </c>
      <c r="I34">
        <v>0</v>
      </c>
      <c r="J34">
        <v>8.99</v>
      </c>
      <c r="K34">
        <v>0.91</v>
      </c>
      <c r="L34">
        <v>9.9</v>
      </c>
      <c r="M34">
        <v>2</v>
      </c>
    </row>
    <row r="35" spans="1:13" hidden="1" x14ac:dyDescent="0.2">
      <c r="A35" t="s">
        <v>387</v>
      </c>
      <c r="B35" t="s">
        <v>14</v>
      </c>
      <c r="C35">
        <v>9353707000363</v>
      </c>
      <c r="D35" t="s">
        <v>116</v>
      </c>
      <c r="E35">
        <v>3</v>
      </c>
      <c r="F35">
        <v>13.53</v>
      </c>
      <c r="G35">
        <v>0</v>
      </c>
      <c r="H35">
        <v>0</v>
      </c>
      <c r="I35">
        <v>-0.44</v>
      </c>
      <c r="J35">
        <v>13.09</v>
      </c>
      <c r="K35">
        <v>1.32</v>
      </c>
      <c r="L35">
        <v>14.41</v>
      </c>
      <c r="M35">
        <v>3</v>
      </c>
    </row>
    <row r="36" spans="1:13" hidden="1" x14ac:dyDescent="0.2">
      <c r="A36" t="s">
        <v>665</v>
      </c>
      <c r="B36" t="s">
        <v>14</v>
      </c>
      <c r="C36">
        <v>9353707001001</v>
      </c>
      <c r="D36" t="s">
        <v>116</v>
      </c>
      <c r="E36">
        <v>3</v>
      </c>
      <c r="F36">
        <v>13.58</v>
      </c>
      <c r="G36">
        <v>0</v>
      </c>
      <c r="H36">
        <v>0</v>
      </c>
      <c r="I36">
        <v>-0.99</v>
      </c>
      <c r="J36">
        <v>12.59</v>
      </c>
      <c r="K36">
        <v>1.27</v>
      </c>
      <c r="L36">
        <v>13.86</v>
      </c>
      <c r="M36">
        <v>3</v>
      </c>
    </row>
    <row r="37" spans="1:13" hidden="1" x14ac:dyDescent="0.2">
      <c r="A37" t="s">
        <v>288</v>
      </c>
      <c r="B37" t="s">
        <v>14</v>
      </c>
      <c r="C37">
        <v>9369999805753</v>
      </c>
      <c r="D37" t="s">
        <v>116</v>
      </c>
      <c r="E37">
        <v>2</v>
      </c>
      <c r="F37">
        <v>9</v>
      </c>
      <c r="G37">
        <v>0</v>
      </c>
      <c r="H37">
        <v>0</v>
      </c>
      <c r="I37">
        <v>0</v>
      </c>
      <c r="J37">
        <v>9</v>
      </c>
      <c r="K37">
        <v>0.9</v>
      </c>
      <c r="L37">
        <v>9.9</v>
      </c>
      <c r="M37">
        <v>2</v>
      </c>
    </row>
    <row r="38" spans="1:13" hidden="1" x14ac:dyDescent="0.2">
      <c r="A38" t="s">
        <v>287</v>
      </c>
      <c r="B38" t="s">
        <v>14</v>
      </c>
      <c r="C38">
        <v>9356908000309</v>
      </c>
      <c r="D38" t="s">
        <v>116</v>
      </c>
      <c r="E38">
        <v>1</v>
      </c>
      <c r="F38">
        <v>5.45</v>
      </c>
      <c r="G38">
        <v>0</v>
      </c>
      <c r="H38">
        <v>0</v>
      </c>
      <c r="I38">
        <v>0</v>
      </c>
      <c r="J38">
        <v>5.45</v>
      </c>
      <c r="K38">
        <v>0.55000000000000004</v>
      </c>
      <c r="L38">
        <v>6</v>
      </c>
      <c r="M38">
        <v>1</v>
      </c>
    </row>
    <row r="39" spans="1:13" hidden="1" x14ac:dyDescent="0.2">
      <c r="A39" t="s">
        <v>314</v>
      </c>
      <c r="B39" t="s">
        <v>14</v>
      </c>
      <c r="C39">
        <v>9357204000000</v>
      </c>
      <c r="D39" t="s">
        <v>116</v>
      </c>
      <c r="E39">
        <v>7</v>
      </c>
      <c r="F39">
        <v>50.75</v>
      </c>
      <c r="G39">
        <v>0</v>
      </c>
      <c r="H39">
        <v>0</v>
      </c>
      <c r="I39">
        <v>-1.01</v>
      </c>
      <c r="J39">
        <v>49.74</v>
      </c>
      <c r="K39">
        <v>0</v>
      </c>
      <c r="L39">
        <v>49.74</v>
      </c>
      <c r="M39">
        <v>7</v>
      </c>
    </row>
    <row r="40" spans="1:13" hidden="1" x14ac:dyDescent="0.2">
      <c r="A40" t="s">
        <v>664</v>
      </c>
      <c r="B40" t="s">
        <v>14</v>
      </c>
      <c r="C40">
        <v>9369998119127</v>
      </c>
      <c r="D40" t="s">
        <v>116</v>
      </c>
      <c r="E40">
        <v>4</v>
      </c>
      <c r="F40">
        <v>23.62</v>
      </c>
      <c r="G40">
        <v>0</v>
      </c>
      <c r="H40">
        <v>0</v>
      </c>
      <c r="I40">
        <v>0</v>
      </c>
      <c r="J40">
        <v>23.62</v>
      </c>
      <c r="K40">
        <v>2.38</v>
      </c>
      <c r="L40">
        <v>26</v>
      </c>
      <c r="M40">
        <v>4</v>
      </c>
    </row>
    <row r="41" spans="1:13" hidden="1" x14ac:dyDescent="0.2">
      <c r="A41" t="s">
        <v>549</v>
      </c>
      <c r="B41" t="s">
        <v>14</v>
      </c>
      <c r="C41">
        <v>9357204000208</v>
      </c>
      <c r="D41" t="s">
        <v>116</v>
      </c>
      <c r="E41">
        <v>2</v>
      </c>
      <c r="F41">
        <v>13.26</v>
      </c>
      <c r="G41">
        <v>0</v>
      </c>
      <c r="H41">
        <v>0</v>
      </c>
      <c r="I41">
        <v>0</v>
      </c>
      <c r="J41">
        <v>13.26</v>
      </c>
      <c r="K41">
        <v>1.34</v>
      </c>
      <c r="L41">
        <v>14.6</v>
      </c>
      <c r="M41">
        <v>2</v>
      </c>
    </row>
    <row r="42" spans="1:13" hidden="1" x14ac:dyDescent="0.2">
      <c r="A42" t="s">
        <v>118</v>
      </c>
      <c r="B42" t="s">
        <v>14</v>
      </c>
      <c r="C42">
        <v>9357204000604</v>
      </c>
      <c r="D42" t="s">
        <v>116</v>
      </c>
      <c r="E42">
        <v>8</v>
      </c>
      <c r="F42">
        <v>46.15</v>
      </c>
      <c r="G42">
        <v>0</v>
      </c>
      <c r="H42">
        <v>0</v>
      </c>
      <c r="I42">
        <v>0</v>
      </c>
      <c r="J42">
        <v>46.15</v>
      </c>
      <c r="K42">
        <v>4.6500000000000004</v>
      </c>
      <c r="L42">
        <v>50.8</v>
      </c>
      <c r="M42">
        <v>8</v>
      </c>
    </row>
    <row r="43" spans="1:13" hidden="1" x14ac:dyDescent="0.2">
      <c r="A43" t="s">
        <v>286</v>
      </c>
      <c r="B43" t="s">
        <v>14</v>
      </c>
      <c r="C43">
        <v>9357204000918</v>
      </c>
      <c r="D43" t="s">
        <v>116</v>
      </c>
      <c r="E43">
        <v>1</v>
      </c>
      <c r="F43">
        <v>5.77</v>
      </c>
      <c r="G43">
        <v>0</v>
      </c>
      <c r="H43">
        <v>0</v>
      </c>
      <c r="I43">
        <v>0</v>
      </c>
      <c r="J43">
        <v>5.77</v>
      </c>
      <c r="K43">
        <v>0.57999999999999996</v>
      </c>
      <c r="L43">
        <v>6.35</v>
      </c>
      <c r="M43">
        <v>1</v>
      </c>
    </row>
    <row r="44" spans="1:13" hidden="1" x14ac:dyDescent="0.2">
      <c r="A44" t="s">
        <v>548</v>
      </c>
      <c r="B44" t="s">
        <v>14</v>
      </c>
      <c r="C44">
        <v>9357204000611</v>
      </c>
      <c r="D44" t="s">
        <v>116</v>
      </c>
      <c r="E44">
        <v>4</v>
      </c>
      <c r="F44">
        <v>23.07</v>
      </c>
      <c r="G44">
        <v>0</v>
      </c>
      <c r="H44">
        <v>0</v>
      </c>
      <c r="I44">
        <v>0</v>
      </c>
      <c r="J44">
        <v>23.07</v>
      </c>
      <c r="K44">
        <v>2.33</v>
      </c>
      <c r="L44">
        <v>25.4</v>
      </c>
      <c r="M44">
        <v>4</v>
      </c>
    </row>
    <row r="45" spans="1:13" hidden="1" x14ac:dyDescent="0.2">
      <c r="A45" t="s">
        <v>663</v>
      </c>
      <c r="B45" t="s">
        <v>14</v>
      </c>
      <c r="C45">
        <v>9357204000031</v>
      </c>
      <c r="D45" t="s">
        <v>116</v>
      </c>
      <c r="E45">
        <v>3</v>
      </c>
      <c r="F45">
        <v>21.3</v>
      </c>
      <c r="G45">
        <v>0</v>
      </c>
      <c r="H45">
        <v>0</v>
      </c>
      <c r="I45">
        <v>0</v>
      </c>
      <c r="J45">
        <v>21.3</v>
      </c>
      <c r="K45">
        <v>0</v>
      </c>
      <c r="L45">
        <v>21.3</v>
      </c>
      <c r="M45">
        <v>3</v>
      </c>
    </row>
    <row r="46" spans="1:13" hidden="1" x14ac:dyDescent="0.2">
      <c r="A46" t="s">
        <v>117</v>
      </c>
      <c r="B46" t="s">
        <v>14</v>
      </c>
      <c r="C46">
        <v>9369998020959</v>
      </c>
      <c r="D46" t="s">
        <v>116</v>
      </c>
      <c r="E46">
        <v>3</v>
      </c>
      <c r="F46">
        <v>17.71</v>
      </c>
      <c r="G46">
        <v>0</v>
      </c>
      <c r="H46">
        <v>0</v>
      </c>
      <c r="I46">
        <v>0</v>
      </c>
      <c r="J46">
        <v>17.71</v>
      </c>
      <c r="K46">
        <v>1.79</v>
      </c>
      <c r="L46">
        <v>19.5</v>
      </c>
      <c r="M46">
        <v>3</v>
      </c>
    </row>
    <row r="47" spans="1:13" hidden="1" x14ac:dyDescent="0.2">
      <c r="A47" t="s">
        <v>375</v>
      </c>
      <c r="B47" t="s">
        <v>14</v>
      </c>
      <c r="C47">
        <v>9357204000017</v>
      </c>
      <c r="D47" t="s">
        <v>116</v>
      </c>
      <c r="E47">
        <v>1</v>
      </c>
      <c r="F47">
        <v>7.1</v>
      </c>
      <c r="G47">
        <v>0</v>
      </c>
      <c r="H47">
        <v>0</v>
      </c>
      <c r="I47">
        <v>0</v>
      </c>
      <c r="J47">
        <v>7.1</v>
      </c>
      <c r="K47">
        <v>0</v>
      </c>
      <c r="L47">
        <v>7.1</v>
      </c>
      <c r="M47">
        <v>1</v>
      </c>
    </row>
    <row r="48" spans="1:13" hidden="1" x14ac:dyDescent="0.2">
      <c r="A48" t="s">
        <v>472</v>
      </c>
      <c r="B48" t="s">
        <v>14</v>
      </c>
      <c r="C48">
        <v>9369900012157</v>
      </c>
      <c r="D48" t="s">
        <v>116</v>
      </c>
      <c r="E48">
        <v>2</v>
      </c>
      <c r="F48">
        <v>23.52</v>
      </c>
      <c r="G48">
        <v>0</v>
      </c>
      <c r="H48">
        <v>0</v>
      </c>
      <c r="I48">
        <v>0</v>
      </c>
      <c r="J48">
        <v>23.52</v>
      </c>
      <c r="K48">
        <v>2.38</v>
      </c>
      <c r="L48">
        <v>25.9</v>
      </c>
      <c r="M48">
        <v>2</v>
      </c>
    </row>
    <row r="49" spans="1:13" hidden="1" x14ac:dyDescent="0.2">
      <c r="A49" t="s">
        <v>420</v>
      </c>
      <c r="B49" t="s">
        <v>14</v>
      </c>
      <c r="C49">
        <v>9369998268191</v>
      </c>
      <c r="D49" t="s">
        <v>116</v>
      </c>
      <c r="E49">
        <v>3</v>
      </c>
      <c r="F49">
        <v>35.76</v>
      </c>
      <c r="G49">
        <v>0</v>
      </c>
      <c r="H49">
        <v>0</v>
      </c>
      <c r="I49">
        <v>-5.18</v>
      </c>
      <c r="J49">
        <v>30.58</v>
      </c>
      <c r="K49">
        <v>3.09</v>
      </c>
      <c r="L49">
        <v>33.67</v>
      </c>
      <c r="M49">
        <v>3</v>
      </c>
    </row>
    <row r="50" spans="1:13" hidden="1" x14ac:dyDescent="0.2">
      <c r="A50" t="s">
        <v>374</v>
      </c>
      <c r="B50" t="s">
        <v>14</v>
      </c>
      <c r="C50">
        <v>9349125000610</v>
      </c>
      <c r="D50" t="s">
        <v>116</v>
      </c>
      <c r="E50">
        <v>1</v>
      </c>
      <c r="F50">
        <v>5.51</v>
      </c>
      <c r="G50">
        <v>0</v>
      </c>
      <c r="H50">
        <v>0</v>
      </c>
      <c r="I50">
        <v>-1.19</v>
      </c>
      <c r="J50">
        <v>4.32</v>
      </c>
      <c r="K50">
        <v>0.44</v>
      </c>
      <c r="L50">
        <v>4.76</v>
      </c>
      <c r="M50">
        <v>1</v>
      </c>
    </row>
    <row r="51" spans="1:13" hidden="1" x14ac:dyDescent="0.2">
      <c r="A51" t="s">
        <v>547</v>
      </c>
      <c r="B51" t="s">
        <v>14</v>
      </c>
      <c r="C51">
        <v>9349125001280</v>
      </c>
      <c r="D51" t="s">
        <v>116</v>
      </c>
      <c r="E51">
        <v>6</v>
      </c>
      <c r="F51">
        <v>25.63</v>
      </c>
      <c r="G51">
        <v>0</v>
      </c>
      <c r="H51">
        <v>0</v>
      </c>
      <c r="I51">
        <v>-0.23</v>
      </c>
      <c r="J51">
        <v>25.4</v>
      </c>
      <c r="K51">
        <v>2.57</v>
      </c>
      <c r="L51">
        <v>27.97</v>
      </c>
      <c r="M51">
        <v>6</v>
      </c>
    </row>
    <row r="52" spans="1:13" hidden="1" x14ac:dyDescent="0.2">
      <c r="A52" t="s">
        <v>471</v>
      </c>
      <c r="B52" t="s">
        <v>14</v>
      </c>
      <c r="C52">
        <v>9349125001181</v>
      </c>
      <c r="D52" t="s">
        <v>116</v>
      </c>
      <c r="E52">
        <v>1</v>
      </c>
      <c r="F52">
        <v>4.2699999999999996</v>
      </c>
      <c r="G52">
        <v>0</v>
      </c>
      <c r="H52">
        <v>0</v>
      </c>
      <c r="I52">
        <v>0</v>
      </c>
      <c r="J52">
        <v>4.2699999999999996</v>
      </c>
      <c r="K52">
        <v>0.43</v>
      </c>
      <c r="L52">
        <v>4.7</v>
      </c>
      <c r="M52">
        <v>1</v>
      </c>
    </row>
    <row r="53" spans="1:13" hidden="1" x14ac:dyDescent="0.2">
      <c r="A53" t="s">
        <v>470</v>
      </c>
      <c r="B53" t="s">
        <v>14</v>
      </c>
      <c r="C53">
        <v>9347852000224</v>
      </c>
      <c r="D53" t="s">
        <v>116</v>
      </c>
      <c r="E53">
        <v>2</v>
      </c>
      <c r="F53">
        <v>10.44</v>
      </c>
      <c r="G53">
        <v>0</v>
      </c>
      <c r="H53">
        <v>0</v>
      </c>
      <c r="I53">
        <v>0</v>
      </c>
      <c r="J53">
        <v>10.44</v>
      </c>
      <c r="K53">
        <v>1.06</v>
      </c>
      <c r="L53">
        <v>11.5</v>
      </c>
      <c r="M53">
        <v>2</v>
      </c>
    </row>
  </sheetData>
  <pageMargins left="0.7" right="0.7" top="0.75" bottom="0.75" header="0.3" footer="0.3"/>
  <pageSetup paperSize="9" orientation="portrait" horizontalDpi="0" verticalDpi="0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FE4038-30F9-B442-AA88-A9BDB66219C4}">
  <dimension ref="A1:M33"/>
  <sheetViews>
    <sheetView workbookViewId="0">
      <selection activeCell="J14" sqref="J14:J22"/>
    </sheetView>
  </sheetViews>
  <sheetFormatPr baseColWidth="10" defaultRowHeight="16" x14ac:dyDescent="0.2"/>
  <cols>
    <col min="1" max="1" width="46" bestFit="1" customWidth="1"/>
    <col min="2" max="2" width="15.33203125" bestFit="1" customWidth="1"/>
    <col min="3" max="3" width="12.1640625" bestFit="1" customWidth="1"/>
    <col min="4" max="4" width="13.33203125" bestFit="1" customWidth="1"/>
    <col min="5" max="5" width="12.33203125" bestFit="1" customWidth="1"/>
    <col min="6" max="6" width="15" bestFit="1" customWidth="1"/>
    <col min="7" max="7" width="16.6640625" bestFit="1" customWidth="1"/>
    <col min="8" max="8" width="11" bestFit="1" customWidth="1"/>
    <col min="9" max="9" width="20.1640625" bestFit="1" customWidth="1"/>
    <col min="10" max="10" width="11.5" bestFit="1" customWidth="1"/>
    <col min="11" max="11" width="11" bestFit="1" customWidth="1"/>
    <col min="12" max="12" width="13.5" bestFit="1" customWidth="1"/>
    <col min="13" max="13" width="11.83203125" bestFit="1" customWidth="1"/>
  </cols>
  <sheetData>
    <row r="1" spans="1:13" x14ac:dyDescent="0.2">
      <c r="A1" s="4" t="s">
        <v>729</v>
      </c>
    </row>
    <row r="3" spans="1:13" x14ac:dyDescent="0.2">
      <c r="A3" t="s">
        <v>0</v>
      </c>
      <c r="B3" t="s">
        <v>1</v>
      </c>
      <c r="C3" t="s">
        <v>2</v>
      </c>
      <c r="D3" t="s">
        <v>3</v>
      </c>
      <c r="E3" t="s">
        <v>4</v>
      </c>
      <c r="F3" t="s">
        <v>5</v>
      </c>
      <c r="G3" t="s">
        <v>6</v>
      </c>
      <c r="H3" t="s">
        <v>7</v>
      </c>
      <c r="I3" t="s">
        <v>8</v>
      </c>
      <c r="J3" t="s">
        <v>9</v>
      </c>
      <c r="K3" t="s">
        <v>10</v>
      </c>
      <c r="L3" t="s">
        <v>11</v>
      </c>
      <c r="M3" t="s">
        <v>12</v>
      </c>
    </row>
    <row r="4" spans="1:13" x14ac:dyDescent="0.2">
      <c r="A4" t="s">
        <v>601</v>
      </c>
      <c r="B4" t="s">
        <v>14</v>
      </c>
      <c r="C4">
        <v>9327546002154</v>
      </c>
      <c r="D4" t="s">
        <v>18</v>
      </c>
      <c r="E4">
        <v>1</v>
      </c>
      <c r="F4">
        <v>17.2</v>
      </c>
      <c r="G4">
        <v>0</v>
      </c>
      <c r="H4">
        <v>0</v>
      </c>
      <c r="I4">
        <v>0</v>
      </c>
      <c r="J4">
        <v>17.2</v>
      </c>
      <c r="K4">
        <v>0</v>
      </c>
      <c r="L4">
        <v>17.2</v>
      </c>
      <c r="M4">
        <v>1</v>
      </c>
    </row>
    <row r="5" spans="1:13" x14ac:dyDescent="0.2">
      <c r="A5" t="s">
        <v>744</v>
      </c>
      <c r="B5" t="s">
        <v>14</v>
      </c>
      <c r="C5">
        <v>7709909223116</v>
      </c>
      <c r="D5" t="s">
        <v>18</v>
      </c>
      <c r="E5">
        <v>1</v>
      </c>
      <c r="F5">
        <v>15.15</v>
      </c>
      <c r="G5">
        <v>0</v>
      </c>
      <c r="H5">
        <v>0</v>
      </c>
      <c r="I5">
        <v>0</v>
      </c>
      <c r="J5">
        <v>15.15</v>
      </c>
      <c r="K5">
        <v>0</v>
      </c>
      <c r="L5">
        <v>15.15</v>
      </c>
      <c r="M5">
        <v>1</v>
      </c>
    </row>
    <row r="6" spans="1:13" x14ac:dyDescent="0.2">
      <c r="A6" t="s">
        <v>600</v>
      </c>
      <c r="B6" t="s">
        <v>14</v>
      </c>
      <c r="C6">
        <v>850306006233</v>
      </c>
      <c r="D6" t="s">
        <v>18</v>
      </c>
      <c r="E6">
        <v>4</v>
      </c>
      <c r="F6">
        <v>82.8</v>
      </c>
      <c r="G6">
        <v>0</v>
      </c>
      <c r="H6">
        <v>0</v>
      </c>
      <c r="I6">
        <v>0</v>
      </c>
      <c r="J6">
        <v>82.8</v>
      </c>
      <c r="K6">
        <v>0</v>
      </c>
      <c r="L6">
        <v>82.8</v>
      </c>
      <c r="M6">
        <v>4</v>
      </c>
    </row>
    <row r="7" spans="1:13" x14ac:dyDescent="0.2">
      <c r="A7" t="s">
        <v>743</v>
      </c>
      <c r="B7" t="s">
        <v>14</v>
      </c>
      <c r="C7">
        <v>9369900041546</v>
      </c>
      <c r="D7" t="s">
        <v>18</v>
      </c>
      <c r="E7">
        <v>1</v>
      </c>
      <c r="F7">
        <v>11.4</v>
      </c>
      <c r="G7">
        <v>0</v>
      </c>
      <c r="H7">
        <v>0</v>
      </c>
      <c r="I7">
        <v>0</v>
      </c>
      <c r="J7">
        <v>11.4</v>
      </c>
      <c r="K7">
        <v>0</v>
      </c>
      <c r="L7">
        <v>11.4</v>
      </c>
      <c r="M7">
        <v>1</v>
      </c>
    </row>
    <row r="8" spans="1:13" x14ac:dyDescent="0.2">
      <c r="A8" t="s">
        <v>30</v>
      </c>
      <c r="B8" t="s">
        <v>14</v>
      </c>
      <c r="C8">
        <v>9369998409778</v>
      </c>
      <c r="D8" t="s">
        <v>18</v>
      </c>
      <c r="E8">
        <v>4</v>
      </c>
      <c r="F8">
        <v>96</v>
      </c>
      <c r="G8">
        <v>0</v>
      </c>
      <c r="H8">
        <v>0</v>
      </c>
      <c r="I8">
        <v>-1.38</v>
      </c>
      <c r="J8">
        <v>94.62</v>
      </c>
      <c r="K8">
        <v>0</v>
      </c>
      <c r="L8">
        <v>94.62</v>
      </c>
      <c r="M8">
        <v>4</v>
      </c>
    </row>
    <row r="9" spans="1:13" x14ac:dyDescent="0.2">
      <c r="A9" t="s">
        <v>29</v>
      </c>
      <c r="B9" t="s">
        <v>14</v>
      </c>
      <c r="C9">
        <v>9369998125777</v>
      </c>
      <c r="D9" t="s">
        <v>18</v>
      </c>
      <c r="E9">
        <v>4</v>
      </c>
      <c r="F9">
        <v>96.8</v>
      </c>
      <c r="G9">
        <v>0</v>
      </c>
      <c r="H9">
        <v>0</v>
      </c>
      <c r="I9">
        <v>-2.79</v>
      </c>
      <c r="J9">
        <v>94.01</v>
      </c>
      <c r="K9">
        <v>0</v>
      </c>
      <c r="L9">
        <v>94.01</v>
      </c>
      <c r="M9">
        <v>4</v>
      </c>
    </row>
    <row r="10" spans="1:13" x14ac:dyDescent="0.2">
      <c r="A10" t="s">
        <v>281</v>
      </c>
      <c r="B10" t="s">
        <v>14</v>
      </c>
      <c r="C10">
        <v>9369998515103</v>
      </c>
      <c r="D10" t="s">
        <v>18</v>
      </c>
      <c r="E10">
        <v>5</v>
      </c>
      <c r="F10">
        <v>57</v>
      </c>
      <c r="G10">
        <v>0</v>
      </c>
      <c r="H10">
        <v>0</v>
      </c>
      <c r="I10">
        <v>-1.1399999999999999</v>
      </c>
      <c r="J10">
        <v>55.86</v>
      </c>
      <c r="K10">
        <v>0</v>
      </c>
      <c r="L10">
        <v>55.86</v>
      </c>
      <c r="M10">
        <v>5</v>
      </c>
    </row>
    <row r="11" spans="1:13" x14ac:dyDescent="0.2">
      <c r="A11" t="s">
        <v>742</v>
      </c>
      <c r="B11" t="s">
        <v>14</v>
      </c>
      <c r="C11">
        <v>9369999111205</v>
      </c>
      <c r="D11" t="s">
        <v>18</v>
      </c>
      <c r="E11">
        <v>2</v>
      </c>
      <c r="F11">
        <v>25.4</v>
      </c>
      <c r="G11">
        <v>0</v>
      </c>
      <c r="H11">
        <v>0</v>
      </c>
      <c r="I11">
        <v>0</v>
      </c>
      <c r="J11">
        <v>25.4</v>
      </c>
      <c r="K11">
        <v>0</v>
      </c>
      <c r="L11">
        <v>25.4</v>
      </c>
      <c r="M11">
        <v>2</v>
      </c>
    </row>
    <row r="12" spans="1:13" x14ac:dyDescent="0.2">
      <c r="A12" t="s">
        <v>447</v>
      </c>
      <c r="B12" t="s">
        <v>14</v>
      </c>
      <c r="C12">
        <v>9369998033126</v>
      </c>
      <c r="D12" t="s">
        <v>18</v>
      </c>
      <c r="E12">
        <v>4</v>
      </c>
      <c r="F12">
        <v>96</v>
      </c>
      <c r="G12">
        <v>0</v>
      </c>
      <c r="H12">
        <v>0</v>
      </c>
      <c r="I12">
        <v>0</v>
      </c>
      <c r="J12">
        <v>96</v>
      </c>
      <c r="K12">
        <v>0</v>
      </c>
      <c r="L12">
        <v>96</v>
      </c>
      <c r="M12">
        <v>4</v>
      </c>
    </row>
    <row r="13" spans="1:13" x14ac:dyDescent="0.2">
      <c r="A13" t="s">
        <v>28</v>
      </c>
      <c r="B13" t="s">
        <v>14</v>
      </c>
      <c r="C13">
        <v>9369999349066</v>
      </c>
      <c r="D13" t="s">
        <v>18</v>
      </c>
      <c r="E13">
        <v>1</v>
      </c>
      <c r="F13">
        <v>11.7</v>
      </c>
      <c r="G13">
        <v>0</v>
      </c>
      <c r="H13">
        <v>0</v>
      </c>
      <c r="I13">
        <v>0</v>
      </c>
      <c r="J13">
        <v>11.7</v>
      </c>
      <c r="K13">
        <v>0</v>
      </c>
      <c r="L13">
        <v>11.7</v>
      </c>
      <c r="M13">
        <v>1</v>
      </c>
    </row>
    <row r="14" spans="1:13" x14ac:dyDescent="0.2">
      <c r="A14" t="s">
        <v>27</v>
      </c>
      <c r="B14" t="s">
        <v>14</v>
      </c>
      <c r="C14">
        <v>9325239000807</v>
      </c>
      <c r="D14" t="s">
        <v>18</v>
      </c>
      <c r="E14">
        <v>2</v>
      </c>
      <c r="F14">
        <v>22.4</v>
      </c>
      <c r="G14">
        <v>0</v>
      </c>
      <c r="H14">
        <v>0</v>
      </c>
      <c r="I14">
        <v>0</v>
      </c>
      <c r="J14">
        <v>22.4</v>
      </c>
      <c r="K14">
        <v>0</v>
      </c>
      <c r="L14">
        <v>22.4</v>
      </c>
      <c r="M14">
        <v>2</v>
      </c>
    </row>
    <row r="15" spans="1:13" x14ac:dyDescent="0.2">
      <c r="A15" t="s">
        <v>26</v>
      </c>
      <c r="B15" t="s">
        <v>14</v>
      </c>
      <c r="C15">
        <v>9325239000791</v>
      </c>
      <c r="D15" t="s">
        <v>18</v>
      </c>
      <c r="E15">
        <v>5</v>
      </c>
      <c r="F15">
        <v>47</v>
      </c>
      <c r="G15">
        <v>0</v>
      </c>
      <c r="H15">
        <v>0</v>
      </c>
      <c r="I15">
        <v>-5.64</v>
      </c>
      <c r="J15">
        <v>41.36</v>
      </c>
      <c r="K15">
        <v>0</v>
      </c>
      <c r="L15">
        <v>41.36</v>
      </c>
      <c r="M15">
        <v>5</v>
      </c>
    </row>
    <row r="16" spans="1:13" x14ac:dyDescent="0.2">
      <c r="A16" t="s">
        <v>741</v>
      </c>
      <c r="B16" t="s">
        <v>14</v>
      </c>
      <c r="C16">
        <v>9325239000081</v>
      </c>
      <c r="D16" t="s">
        <v>18</v>
      </c>
      <c r="E16">
        <v>2</v>
      </c>
      <c r="F16">
        <v>21.6</v>
      </c>
      <c r="G16">
        <v>0</v>
      </c>
      <c r="H16">
        <v>0</v>
      </c>
      <c r="I16">
        <v>-2.16</v>
      </c>
      <c r="J16">
        <v>19.440000000000001</v>
      </c>
      <c r="K16">
        <v>0</v>
      </c>
      <c r="L16">
        <v>19.440000000000001</v>
      </c>
      <c r="M16">
        <v>2</v>
      </c>
    </row>
    <row r="17" spans="1:13" x14ac:dyDescent="0.2">
      <c r="A17" t="s">
        <v>25</v>
      </c>
      <c r="B17" t="s">
        <v>14</v>
      </c>
      <c r="C17">
        <v>9325239000128</v>
      </c>
      <c r="D17" t="s">
        <v>18</v>
      </c>
      <c r="E17">
        <v>3</v>
      </c>
      <c r="F17">
        <v>28.2</v>
      </c>
      <c r="G17">
        <v>0</v>
      </c>
      <c r="H17">
        <v>0</v>
      </c>
      <c r="I17">
        <v>0</v>
      </c>
      <c r="J17">
        <v>28.2</v>
      </c>
      <c r="K17">
        <v>0</v>
      </c>
      <c r="L17">
        <v>28.2</v>
      </c>
      <c r="M17">
        <v>3</v>
      </c>
    </row>
    <row r="18" spans="1:13" x14ac:dyDescent="0.2">
      <c r="A18" t="s">
        <v>24</v>
      </c>
      <c r="B18" t="s">
        <v>14</v>
      </c>
      <c r="C18">
        <v>9325239001019</v>
      </c>
      <c r="D18" t="s">
        <v>18</v>
      </c>
      <c r="E18">
        <v>2</v>
      </c>
      <c r="F18">
        <v>20</v>
      </c>
      <c r="G18">
        <v>0</v>
      </c>
      <c r="H18">
        <v>0</v>
      </c>
      <c r="I18">
        <v>0</v>
      </c>
      <c r="J18">
        <v>20</v>
      </c>
      <c r="K18">
        <v>0</v>
      </c>
      <c r="L18">
        <v>20</v>
      </c>
      <c r="M18">
        <v>2</v>
      </c>
    </row>
    <row r="19" spans="1:13" x14ac:dyDescent="0.2">
      <c r="A19" t="s">
        <v>324</v>
      </c>
      <c r="B19" t="s">
        <v>14</v>
      </c>
      <c r="C19">
        <v>9325239000098</v>
      </c>
      <c r="D19" t="s">
        <v>18</v>
      </c>
      <c r="E19">
        <v>1</v>
      </c>
      <c r="F19">
        <v>8.9499999999999993</v>
      </c>
      <c r="G19">
        <v>0</v>
      </c>
      <c r="H19">
        <v>0</v>
      </c>
      <c r="I19">
        <v>0</v>
      </c>
      <c r="J19">
        <v>8.9499999999999993</v>
      </c>
      <c r="K19">
        <v>0</v>
      </c>
      <c r="L19">
        <v>8.9499999999999993</v>
      </c>
      <c r="M19">
        <v>1</v>
      </c>
    </row>
    <row r="20" spans="1:13" x14ac:dyDescent="0.2">
      <c r="A20" t="s">
        <v>22</v>
      </c>
      <c r="B20" t="s">
        <v>14</v>
      </c>
      <c r="C20">
        <v>9325239000258</v>
      </c>
      <c r="D20" t="s">
        <v>18</v>
      </c>
      <c r="E20">
        <v>8</v>
      </c>
      <c r="F20">
        <v>75.2</v>
      </c>
      <c r="G20">
        <v>0</v>
      </c>
      <c r="H20">
        <v>0</v>
      </c>
      <c r="I20">
        <v>-10.46</v>
      </c>
      <c r="J20">
        <v>64.739999999999995</v>
      </c>
      <c r="K20">
        <v>0</v>
      </c>
      <c r="L20">
        <v>64.739999999999995</v>
      </c>
      <c r="M20">
        <v>8</v>
      </c>
    </row>
    <row r="21" spans="1:13" x14ac:dyDescent="0.2">
      <c r="A21" t="s">
        <v>21</v>
      </c>
      <c r="B21" t="s">
        <v>14</v>
      </c>
      <c r="C21">
        <v>9325239000036</v>
      </c>
      <c r="D21" t="s">
        <v>18</v>
      </c>
      <c r="E21">
        <v>2</v>
      </c>
      <c r="F21">
        <v>17.899999999999999</v>
      </c>
      <c r="G21">
        <v>0</v>
      </c>
      <c r="H21">
        <v>0</v>
      </c>
      <c r="I21">
        <v>-3.02</v>
      </c>
      <c r="J21">
        <v>14.88</v>
      </c>
      <c r="K21">
        <v>0</v>
      </c>
      <c r="L21">
        <v>14.88</v>
      </c>
      <c r="M21">
        <v>2</v>
      </c>
    </row>
    <row r="22" spans="1:13" x14ac:dyDescent="0.2">
      <c r="A22" t="s">
        <v>598</v>
      </c>
      <c r="B22" t="s">
        <v>14</v>
      </c>
      <c r="C22">
        <v>9325239000739</v>
      </c>
      <c r="D22" t="s">
        <v>18</v>
      </c>
      <c r="E22">
        <v>3</v>
      </c>
      <c r="F22">
        <v>30.6</v>
      </c>
      <c r="G22">
        <v>0</v>
      </c>
      <c r="H22">
        <v>0</v>
      </c>
      <c r="I22">
        <v>-2.81</v>
      </c>
      <c r="J22">
        <v>27.79</v>
      </c>
      <c r="K22">
        <v>0</v>
      </c>
      <c r="L22">
        <v>27.79</v>
      </c>
      <c r="M22">
        <v>3</v>
      </c>
    </row>
    <row r="23" spans="1:13" x14ac:dyDescent="0.2">
      <c r="A23" t="s">
        <v>407</v>
      </c>
      <c r="B23" t="s">
        <v>14</v>
      </c>
      <c r="C23">
        <v>4000446001025</v>
      </c>
      <c r="D23" t="s">
        <v>18</v>
      </c>
      <c r="E23">
        <v>1</v>
      </c>
      <c r="F23">
        <v>4.4000000000000004</v>
      </c>
      <c r="G23">
        <v>0</v>
      </c>
      <c r="H23">
        <v>0</v>
      </c>
      <c r="I23">
        <v>0</v>
      </c>
      <c r="J23">
        <v>4.4000000000000004</v>
      </c>
      <c r="K23">
        <v>0</v>
      </c>
      <c r="L23">
        <v>4.4000000000000004</v>
      </c>
      <c r="M23">
        <v>1</v>
      </c>
    </row>
    <row r="24" spans="1:13" x14ac:dyDescent="0.2">
      <c r="A24" t="s">
        <v>446</v>
      </c>
      <c r="B24" t="s">
        <v>14</v>
      </c>
      <c r="C24">
        <v>735850488790</v>
      </c>
      <c r="D24" t="s">
        <v>18</v>
      </c>
      <c r="E24">
        <v>2</v>
      </c>
      <c r="F24">
        <v>35</v>
      </c>
      <c r="G24">
        <v>0</v>
      </c>
      <c r="H24">
        <v>0</v>
      </c>
      <c r="I24">
        <v>-1.75</v>
      </c>
      <c r="J24">
        <v>33.25</v>
      </c>
      <c r="K24">
        <v>0</v>
      </c>
      <c r="L24">
        <v>33.25</v>
      </c>
      <c r="M24">
        <v>2</v>
      </c>
    </row>
    <row r="25" spans="1:13" x14ac:dyDescent="0.2">
      <c r="A25" t="s">
        <v>740</v>
      </c>
      <c r="B25" t="s">
        <v>14</v>
      </c>
      <c r="C25">
        <v>754590186803</v>
      </c>
      <c r="D25" t="s">
        <v>18</v>
      </c>
      <c r="E25">
        <v>1</v>
      </c>
      <c r="F25">
        <v>17.5</v>
      </c>
      <c r="G25">
        <v>0</v>
      </c>
      <c r="H25">
        <v>0</v>
      </c>
      <c r="I25">
        <v>0</v>
      </c>
      <c r="J25">
        <v>17.5</v>
      </c>
      <c r="K25">
        <v>0</v>
      </c>
      <c r="L25">
        <v>17.5</v>
      </c>
      <c r="M25">
        <v>1</v>
      </c>
    </row>
    <row r="26" spans="1:13" x14ac:dyDescent="0.2">
      <c r="A26" t="s">
        <v>739</v>
      </c>
      <c r="B26" t="s">
        <v>14</v>
      </c>
      <c r="C26">
        <v>793618192747</v>
      </c>
      <c r="D26" t="s">
        <v>18</v>
      </c>
      <c r="E26">
        <v>4</v>
      </c>
      <c r="F26">
        <v>55.8</v>
      </c>
      <c r="G26">
        <v>0</v>
      </c>
      <c r="H26">
        <v>0</v>
      </c>
      <c r="I26">
        <v>-1</v>
      </c>
      <c r="J26">
        <v>54.8</v>
      </c>
      <c r="K26">
        <v>0</v>
      </c>
      <c r="L26">
        <v>54.8</v>
      </c>
      <c r="M26">
        <v>4</v>
      </c>
    </row>
    <row r="27" spans="1:13" x14ac:dyDescent="0.2">
      <c r="A27" t="s">
        <v>20</v>
      </c>
      <c r="B27" t="s">
        <v>14</v>
      </c>
      <c r="C27">
        <v>9349227000211</v>
      </c>
      <c r="D27" t="s">
        <v>18</v>
      </c>
      <c r="E27">
        <v>7</v>
      </c>
      <c r="F27">
        <v>83.3</v>
      </c>
      <c r="G27">
        <v>0</v>
      </c>
      <c r="H27">
        <v>0</v>
      </c>
      <c r="I27">
        <v>0</v>
      </c>
      <c r="J27">
        <v>83.3</v>
      </c>
      <c r="K27">
        <v>0</v>
      </c>
      <c r="L27">
        <v>83.3</v>
      </c>
      <c r="M27">
        <v>7</v>
      </c>
    </row>
    <row r="28" spans="1:13" x14ac:dyDescent="0.2">
      <c r="A28" t="s">
        <v>304</v>
      </c>
      <c r="B28" t="s">
        <v>14</v>
      </c>
      <c r="C28">
        <v>799439079007</v>
      </c>
      <c r="D28" t="s">
        <v>18</v>
      </c>
      <c r="E28">
        <v>1</v>
      </c>
      <c r="F28">
        <v>11.45</v>
      </c>
      <c r="G28">
        <v>0</v>
      </c>
      <c r="H28">
        <v>0</v>
      </c>
      <c r="I28">
        <v>0</v>
      </c>
      <c r="J28">
        <v>11.45</v>
      </c>
      <c r="K28">
        <v>0</v>
      </c>
      <c r="L28">
        <v>11.45</v>
      </c>
      <c r="M28">
        <v>1</v>
      </c>
    </row>
    <row r="29" spans="1:13" x14ac:dyDescent="0.2">
      <c r="A29" t="s">
        <v>593</v>
      </c>
      <c r="B29" t="s">
        <v>14</v>
      </c>
      <c r="C29">
        <v>9311254001448</v>
      </c>
      <c r="D29" t="s">
        <v>18</v>
      </c>
      <c r="E29">
        <v>1</v>
      </c>
      <c r="F29">
        <v>12.85</v>
      </c>
      <c r="G29">
        <v>0</v>
      </c>
      <c r="H29">
        <v>0</v>
      </c>
      <c r="I29">
        <v>0</v>
      </c>
      <c r="J29">
        <v>12.85</v>
      </c>
      <c r="K29">
        <v>0</v>
      </c>
      <c r="L29">
        <v>12.85</v>
      </c>
      <c r="M29">
        <v>1</v>
      </c>
    </row>
    <row r="30" spans="1:13" x14ac:dyDescent="0.2">
      <c r="A30" t="s">
        <v>445</v>
      </c>
      <c r="B30" t="s">
        <v>14</v>
      </c>
      <c r="C30">
        <v>5032722301252</v>
      </c>
      <c r="D30" t="s">
        <v>18</v>
      </c>
      <c r="E30">
        <v>2</v>
      </c>
      <c r="F30">
        <v>17.899999999999999</v>
      </c>
      <c r="G30">
        <v>0</v>
      </c>
      <c r="H30">
        <v>0</v>
      </c>
      <c r="I30">
        <v>0</v>
      </c>
      <c r="J30">
        <v>17.899999999999999</v>
      </c>
      <c r="K30">
        <v>0</v>
      </c>
      <c r="L30">
        <v>17.899999999999999</v>
      </c>
      <c r="M30">
        <v>2</v>
      </c>
    </row>
    <row r="31" spans="1:13" x14ac:dyDescent="0.2">
      <c r="A31" t="s">
        <v>19</v>
      </c>
      <c r="B31" t="s">
        <v>14</v>
      </c>
      <c r="C31">
        <v>9369998065462</v>
      </c>
      <c r="D31" t="s">
        <v>18</v>
      </c>
      <c r="E31">
        <v>1</v>
      </c>
      <c r="F31">
        <v>17</v>
      </c>
      <c r="G31">
        <v>0</v>
      </c>
      <c r="H31">
        <v>0</v>
      </c>
      <c r="I31">
        <v>0</v>
      </c>
      <c r="J31">
        <v>17</v>
      </c>
      <c r="K31">
        <v>0</v>
      </c>
      <c r="L31">
        <v>17</v>
      </c>
      <c r="M31">
        <v>1</v>
      </c>
    </row>
    <row r="32" spans="1:13" x14ac:dyDescent="0.2">
      <c r="A32" t="s">
        <v>738</v>
      </c>
      <c r="B32" t="s">
        <v>14</v>
      </c>
      <c r="C32">
        <v>9320895000864</v>
      </c>
      <c r="D32" t="s">
        <v>18</v>
      </c>
      <c r="E32">
        <v>1</v>
      </c>
      <c r="F32">
        <v>8.9499999999999993</v>
      </c>
      <c r="G32">
        <v>0</v>
      </c>
      <c r="H32">
        <v>0</v>
      </c>
      <c r="I32">
        <v>0</v>
      </c>
      <c r="J32">
        <v>8.9499999999999993</v>
      </c>
      <c r="K32">
        <v>0</v>
      </c>
      <c r="L32">
        <v>8.9499999999999993</v>
      </c>
      <c r="M32">
        <v>1</v>
      </c>
    </row>
    <row r="33" spans="1:13" x14ac:dyDescent="0.2">
      <c r="A33" t="s">
        <v>594</v>
      </c>
      <c r="B33" t="s">
        <v>14</v>
      </c>
      <c r="C33">
        <v>9320895001854</v>
      </c>
      <c r="D33" t="s">
        <v>18</v>
      </c>
      <c r="E33">
        <v>3</v>
      </c>
      <c r="F33">
        <v>18.3</v>
      </c>
      <c r="G33">
        <v>0</v>
      </c>
      <c r="H33">
        <v>0</v>
      </c>
      <c r="I33">
        <v>0</v>
      </c>
      <c r="J33">
        <v>18.3</v>
      </c>
      <c r="K33">
        <v>0</v>
      </c>
      <c r="L33">
        <v>18.3</v>
      </c>
      <c r="M33">
        <v>3</v>
      </c>
    </row>
  </sheetData>
  <pageMargins left="0.7" right="0.7" top="0.75" bottom="0.75" header="0.3" footer="0.3"/>
  <pageSetup paperSize="9" orientation="portrait" horizontalDpi="0" verticalDpi="0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185813-A969-F944-9E72-7063B0055055}">
  <dimension ref="A1:M39"/>
  <sheetViews>
    <sheetView workbookViewId="0">
      <selection activeCell="J5" sqref="J5:J10"/>
    </sheetView>
  </sheetViews>
  <sheetFormatPr baseColWidth="10" defaultRowHeight="16" x14ac:dyDescent="0.2"/>
  <cols>
    <col min="1" max="1" width="53.1640625" bestFit="1" customWidth="1"/>
    <col min="2" max="2" width="15.33203125" bestFit="1" customWidth="1"/>
    <col min="3" max="3" width="12.1640625" bestFit="1" customWidth="1"/>
    <col min="4" max="4" width="22.83203125" bestFit="1" customWidth="1"/>
    <col min="5" max="5" width="12.33203125" bestFit="1" customWidth="1"/>
    <col min="6" max="6" width="15" bestFit="1" customWidth="1"/>
    <col min="7" max="7" width="16.6640625" bestFit="1" customWidth="1"/>
    <col min="8" max="8" width="11" bestFit="1" customWidth="1"/>
    <col min="9" max="9" width="20.1640625" bestFit="1" customWidth="1"/>
    <col min="10" max="10" width="11.5" bestFit="1" customWidth="1"/>
    <col min="11" max="11" width="11" bestFit="1" customWidth="1"/>
    <col min="12" max="12" width="13.5" bestFit="1" customWidth="1"/>
    <col min="13" max="13" width="11.83203125" bestFit="1" customWidth="1"/>
  </cols>
  <sheetData>
    <row r="1" spans="1:13" x14ac:dyDescent="0.2">
      <c r="A1" s="4" t="s">
        <v>727</v>
      </c>
    </row>
    <row r="3" spans="1:13" x14ac:dyDescent="0.2">
      <c r="A3" t="s">
        <v>0</v>
      </c>
      <c r="B3" t="s">
        <v>1</v>
      </c>
      <c r="C3" t="s">
        <v>2</v>
      </c>
      <c r="D3" t="s">
        <v>3</v>
      </c>
      <c r="E3" t="s">
        <v>4</v>
      </c>
      <c r="F3" t="s">
        <v>5</v>
      </c>
      <c r="G3" t="s">
        <v>6</v>
      </c>
      <c r="H3" t="s">
        <v>7</v>
      </c>
      <c r="I3" t="s">
        <v>8</v>
      </c>
      <c r="J3" t="s">
        <v>9</v>
      </c>
      <c r="K3" t="s">
        <v>10</v>
      </c>
      <c r="L3" t="s">
        <v>11</v>
      </c>
      <c r="M3" t="s">
        <v>12</v>
      </c>
    </row>
    <row r="4" spans="1:13" hidden="1" x14ac:dyDescent="0.2">
      <c r="A4" t="s">
        <v>719</v>
      </c>
      <c r="B4" t="s">
        <v>14</v>
      </c>
      <c r="C4">
        <v>724022002520</v>
      </c>
      <c r="D4" t="s">
        <v>188</v>
      </c>
      <c r="E4">
        <v>1</v>
      </c>
      <c r="F4">
        <v>15.39</v>
      </c>
      <c r="G4">
        <v>0</v>
      </c>
      <c r="H4">
        <v>0</v>
      </c>
      <c r="I4">
        <v>0</v>
      </c>
      <c r="J4">
        <v>15.39</v>
      </c>
      <c r="K4">
        <v>1.56</v>
      </c>
      <c r="L4">
        <v>16.95</v>
      </c>
      <c r="M4">
        <v>1</v>
      </c>
    </row>
    <row r="5" spans="1:13" x14ac:dyDescent="0.2">
      <c r="A5" t="s">
        <v>922</v>
      </c>
      <c r="B5" t="s">
        <v>14</v>
      </c>
      <c r="C5">
        <v>9354444000067</v>
      </c>
      <c r="D5" t="s">
        <v>188</v>
      </c>
      <c r="E5">
        <v>1</v>
      </c>
      <c r="F5">
        <v>86.23</v>
      </c>
      <c r="G5">
        <v>0</v>
      </c>
      <c r="H5">
        <v>0</v>
      </c>
      <c r="I5">
        <v>0</v>
      </c>
      <c r="J5">
        <v>86.23</v>
      </c>
      <c r="K5">
        <v>8.7200000000000006</v>
      </c>
      <c r="L5">
        <v>94.95</v>
      </c>
      <c r="M5">
        <v>1</v>
      </c>
    </row>
    <row r="6" spans="1:13" x14ac:dyDescent="0.2">
      <c r="A6" t="s">
        <v>587</v>
      </c>
      <c r="B6" t="s">
        <v>14</v>
      </c>
      <c r="C6">
        <v>9354444002030</v>
      </c>
      <c r="D6" t="s">
        <v>188</v>
      </c>
      <c r="E6">
        <v>2</v>
      </c>
      <c r="F6">
        <v>90.72</v>
      </c>
      <c r="G6">
        <v>0</v>
      </c>
      <c r="H6">
        <v>0</v>
      </c>
      <c r="I6">
        <v>0</v>
      </c>
      <c r="J6">
        <v>90.72</v>
      </c>
      <c r="K6">
        <v>9.18</v>
      </c>
      <c r="L6">
        <v>99.9</v>
      </c>
      <c r="M6">
        <v>2</v>
      </c>
    </row>
    <row r="7" spans="1:13" x14ac:dyDescent="0.2">
      <c r="A7" t="s">
        <v>586</v>
      </c>
      <c r="B7" t="s">
        <v>14</v>
      </c>
      <c r="C7">
        <v>9354444000203</v>
      </c>
      <c r="D7" t="s">
        <v>188</v>
      </c>
      <c r="E7">
        <v>2</v>
      </c>
      <c r="F7">
        <v>174.2</v>
      </c>
      <c r="G7">
        <v>0</v>
      </c>
      <c r="H7">
        <v>0</v>
      </c>
      <c r="I7">
        <v>-18.989999999999998</v>
      </c>
      <c r="J7">
        <v>155.21</v>
      </c>
      <c r="K7">
        <v>15.7</v>
      </c>
      <c r="L7">
        <v>170.91</v>
      </c>
      <c r="M7">
        <v>2</v>
      </c>
    </row>
    <row r="8" spans="1:13" x14ac:dyDescent="0.2">
      <c r="A8" t="s">
        <v>921</v>
      </c>
      <c r="B8" t="s">
        <v>14</v>
      </c>
      <c r="C8">
        <v>9354444002023</v>
      </c>
      <c r="D8" t="s">
        <v>188</v>
      </c>
      <c r="E8">
        <v>2</v>
      </c>
      <c r="F8">
        <v>90.72</v>
      </c>
      <c r="G8">
        <v>0</v>
      </c>
      <c r="H8">
        <v>0</v>
      </c>
      <c r="I8">
        <v>0</v>
      </c>
      <c r="J8">
        <v>90.72</v>
      </c>
      <c r="K8">
        <v>9.18</v>
      </c>
      <c r="L8">
        <v>99.9</v>
      </c>
      <c r="M8">
        <v>2</v>
      </c>
    </row>
    <row r="9" spans="1:13" x14ac:dyDescent="0.2">
      <c r="A9" t="s">
        <v>383</v>
      </c>
      <c r="B9" t="s">
        <v>14</v>
      </c>
      <c r="C9">
        <v>9354444002405</v>
      </c>
      <c r="D9" t="s">
        <v>188</v>
      </c>
      <c r="E9">
        <v>4</v>
      </c>
      <c r="F9">
        <v>271.87</v>
      </c>
      <c r="G9">
        <v>0</v>
      </c>
      <c r="H9">
        <v>0</v>
      </c>
      <c r="I9">
        <v>-73</v>
      </c>
      <c r="J9">
        <v>198.87</v>
      </c>
      <c r="K9">
        <v>20.13</v>
      </c>
      <c r="L9">
        <v>219</v>
      </c>
      <c r="M9">
        <v>4</v>
      </c>
    </row>
    <row r="10" spans="1:13" x14ac:dyDescent="0.2">
      <c r="A10" t="s">
        <v>920</v>
      </c>
      <c r="B10" t="s">
        <v>14</v>
      </c>
      <c r="C10">
        <v>9354444002665</v>
      </c>
      <c r="D10" t="s">
        <v>188</v>
      </c>
      <c r="E10">
        <v>1</v>
      </c>
      <c r="F10">
        <v>49.9</v>
      </c>
      <c r="G10">
        <v>0</v>
      </c>
      <c r="H10">
        <v>0</v>
      </c>
      <c r="I10">
        <v>0</v>
      </c>
      <c r="J10">
        <v>49.9</v>
      </c>
      <c r="K10">
        <v>5.05</v>
      </c>
      <c r="L10">
        <v>54.95</v>
      </c>
      <c r="M10">
        <v>1</v>
      </c>
    </row>
    <row r="11" spans="1:13" hidden="1" x14ac:dyDescent="0.2">
      <c r="A11" t="s">
        <v>718</v>
      </c>
      <c r="B11" t="s">
        <v>14</v>
      </c>
      <c r="C11">
        <v>9351857004996</v>
      </c>
      <c r="D11" t="s">
        <v>188</v>
      </c>
      <c r="E11">
        <v>1</v>
      </c>
      <c r="F11">
        <v>23.3</v>
      </c>
      <c r="G11">
        <v>0</v>
      </c>
      <c r="H11">
        <v>0</v>
      </c>
      <c r="I11">
        <v>0</v>
      </c>
      <c r="J11">
        <v>23.3</v>
      </c>
      <c r="K11">
        <v>0</v>
      </c>
      <c r="L11">
        <v>23.3</v>
      </c>
      <c r="M11">
        <v>1</v>
      </c>
    </row>
    <row r="12" spans="1:13" hidden="1" x14ac:dyDescent="0.2">
      <c r="A12" t="s">
        <v>919</v>
      </c>
      <c r="B12" t="s">
        <v>14</v>
      </c>
      <c r="C12">
        <v>9351857005146</v>
      </c>
      <c r="D12" t="s">
        <v>188</v>
      </c>
      <c r="E12">
        <v>1</v>
      </c>
      <c r="F12">
        <v>34.69</v>
      </c>
      <c r="G12">
        <v>0</v>
      </c>
      <c r="H12">
        <v>0</v>
      </c>
      <c r="I12">
        <v>0</v>
      </c>
      <c r="J12">
        <v>34.69</v>
      </c>
      <c r="K12">
        <v>3.51</v>
      </c>
      <c r="L12">
        <v>38.200000000000003</v>
      </c>
      <c r="M12">
        <v>1</v>
      </c>
    </row>
    <row r="13" spans="1:13" hidden="1" x14ac:dyDescent="0.2">
      <c r="A13" t="s">
        <v>717</v>
      </c>
      <c r="B13" t="s">
        <v>14</v>
      </c>
      <c r="C13">
        <v>9351857005153</v>
      </c>
      <c r="D13" t="s">
        <v>188</v>
      </c>
      <c r="E13">
        <v>1</v>
      </c>
      <c r="F13">
        <v>38.549999999999997</v>
      </c>
      <c r="G13">
        <v>0</v>
      </c>
      <c r="H13">
        <v>0</v>
      </c>
      <c r="I13">
        <v>0</v>
      </c>
      <c r="J13">
        <v>38.549999999999997</v>
      </c>
      <c r="K13">
        <v>3.9</v>
      </c>
      <c r="L13">
        <v>42.45</v>
      </c>
      <c r="M13">
        <v>1</v>
      </c>
    </row>
    <row r="14" spans="1:13" hidden="1" x14ac:dyDescent="0.2">
      <c r="A14" t="s">
        <v>918</v>
      </c>
      <c r="B14" t="s">
        <v>14</v>
      </c>
      <c r="C14">
        <v>9351857005078</v>
      </c>
      <c r="D14" t="s">
        <v>188</v>
      </c>
      <c r="E14">
        <v>1</v>
      </c>
      <c r="F14">
        <v>37.1</v>
      </c>
      <c r="G14">
        <v>0</v>
      </c>
      <c r="H14">
        <v>0</v>
      </c>
      <c r="I14">
        <v>0</v>
      </c>
      <c r="J14">
        <v>37.1</v>
      </c>
      <c r="K14">
        <v>3.75</v>
      </c>
      <c r="L14">
        <v>40.85</v>
      </c>
      <c r="M14">
        <v>1</v>
      </c>
    </row>
    <row r="15" spans="1:13" hidden="1" x14ac:dyDescent="0.2">
      <c r="A15" t="s">
        <v>917</v>
      </c>
      <c r="B15" t="s">
        <v>14</v>
      </c>
      <c r="C15">
        <v>781005327155</v>
      </c>
      <c r="D15" t="s">
        <v>188</v>
      </c>
      <c r="E15">
        <v>1</v>
      </c>
      <c r="F15">
        <v>35.42</v>
      </c>
      <c r="G15">
        <v>0</v>
      </c>
      <c r="H15">
        <v>0</v>
      </c>
      <c r="I15">
        <v>0</v>
      </c>
      <c r="J15">
        <v>35.42</v>
      </c>
      <c r="K15">
        <v>3.58</v>
      </c>
      <c r="L15">
        <v>39</v>
      </c>
      <c r="M15">
        <v>1</v>
      </c>
    </row>
    <row r="16" spans="1:13" hidden="1" x14ac:dyDescent="0.2">
      <c r="A16" t="s">
        <v>916</v>
      </c>
      <c r="B16" t="s">
        <v>14</v>
      </c>
      <c r="C16">
        <v>9332834008510</v>
      </c>
      <c r="D16" t="s">
        <v>188</v>
      </c>
      <c r="E16">
        <v>1</v>
      </c>
      <c r="F16">
        <v>50.4</v>
      </c>
      <c r="G16">
        <v>0</v>
      </c>
      <c r="H16">
        <v>0</v>
      </c>
      <c r="I16">
        <v>0</v>
      </c>
      <c r="J16">
        <v>50.4</v>
      </c>
      <c r="K16">
        <v>0</v>
      </c>
      <c r="L16">
        <v>50.4</v>
      </c>
      <c r="M16">
        <v>1</v>
      </c>
    </row>
    <row r="17" spans="1:13" hidden="1" x14ac:dyDescent="0.2">
      <c r="A17" t="s">
        <v>915</v>
      </c>
      <c r="B17" t="s">
        <v>14</v>
      </c>
      <c r="C17">
        <v>9343723007491</v>
      </c>
      <c r="D17" t="s">
        <v>188</v>
      </c>
      <c r="E17">
        <v>1</v>
      </c>
      <c r="F17">
        <v>31.8</v>
      </c>
      <c r="G17">
        <v>0</v>
      </c>
      <c r="H17">
        <v>0</v>
      </c>
      <c r="I17">
        <v>0</v>
      </c>
      <c r="J17">
        <v>31.8</v>
      </c>
      <c r="K17">
        <v>0</v>
      </c>
      <c r="L17">
        <v>31.8</v>
      </c>
      <c r="M17">
        <v>1</v>
      </c>
    </row>
    <row r="18" spans="1:13" hidden="1" x14ac:dyDescent="0.2">
      <c r="A18" t="s">
        <v>716</v>
      </c>
      <c r="B18" t="s">
        <v>14</v>
      </c>
      <c r="C18">
        <v>9343723006975</v>
      </c>
      <c r="D18" t="s">
        <v>188</v>
      </c>
      <c r="E18">
        <v>1</v>
      </c>
      <c r="F18">
        <v>67.42</v>
      </c>
      <c r="G18">
        <v>0</v>
      </c>
      <c r="H18">
        <v>0</v>
      </c>
      <c r="I18">
        <v>-2.85</v>
      </c>
      <c r="J18">
        <v>64.569999999999993</v>
      </c>
      <c r="K18">
        <v>6.53</v>
      </c>
      <c r="L18">
        <v>71.099999999999994</v>
      </c>
      <c r="M18">
        <v>1</v>
      </c>
    </row>
    <row r="19" spans="1:13" hidden="1" x14ac:dyDescent="0.2">
      <c r="A19" t="s">
        <v>914</v>
      </c>
      <c r="B19" t="s">
        <v>14</v>
      </c>
      <c r="C19">
        <v>726684624010</v>
      </c>
      <c r="D19" t="s">
        <v>188</v>
      </c>
      <c r="E19">
        <v>1</v>
      </c>
      <c r="F19">
        <v>39.950000000000003</v>
      </c>
      <c r="G19">
        <v>0</v>
      </c>
      <c r="H19">
        <v>0</v>
      </c>
      <c r="I19">
        <v>0</v>
      </c>
      <c r="J19">
        <v>39.950000000000003</v>
      </c>
      <c r="K19">
        <v>4</v>
      </c>
      <c r="L19">
        <v>43.95</v>
      </c>
      <c r="M19">
        <v>1</v>
      </c>
    </row>
    <row r="20" spans="1:13" hidden="1" x14ac:dyDescent="0.2">
      <c r="A20" t="s">
        <v>715</v>
      </c>
      <c r="B20" t="s">
        <v>14</v>
      </c>
      <c r="C20">
        <v>726684624034</v>
      </c>
      <c r="D20" t="s">
        <v>188</v>
      </c>
      <c r="E20">
        <v>6</v>
      </c>
      <c r="F20">
        <v>170.28</v>
      </c>
      <c r="G20">
        <v>0</v>
      </c>
      <c r="H20">
        <v>0</v>
      </c>
      <c r="I20">
        <v>0</v>
      </c>
      <c r="J20">
        <v>170.28</v>
      </c>
      <c r="K20">
        <v>17.22</v>
      </c>
      <c r="L20">
        <v>187.5</v>
      </c>
      <c r="M20">
        <v>6</v>
      </c>
    </row>
    <row r="21" spans="1:13" hidden="1" x14ac:dyDescent="0.2">
      <c r="A21" t="s">
        <v>714</v>
      </c>
      <c r="B21" t="s">
        <v>14</v>
      </c>
      <c r="C21">
        <v>726684624317</v>
      </c>
      <c r="D21" t="s">
        <v>188</v>
      </c>
      <c r="E21">
        <v>1</v>
      </c>
      <c r="F21">
        <v>43.73</v>
      </c>
      <c r="G21">
        <v>0</v>
      </c>
      <c r="H21">
        <v>0</v>
      </c>
      <c r="I21">
        <v>-2.52</v>
      </c>
      <c r="J21">
        <v>41.21</v>
      </c>
      <c r="K21">
        <v>4.17</v>
      </c>
      <c r="L21">
        <v>45.38</v>
      </c>
      <c r="M21">
        <v>1</v>
      </c>
    </row>
    <row r="22" spans="1:13" hidden="1" x14ac:dyDescent="0.2">
      <c r="A22" t="s">
        <v>713</v>
      </c>
      <c r="B22" t="s">
        <v>14</v>
      </c>
      <c r="C22">
        <v>726684624300</v>
      </c>
      <c r="D22" t="s">
        <v>188</v>
      </c>
      <c r="E22">
        <v>3</v>
      </c>
      <c r="F22">
        <v>98.85</v>
      </c>
      <c r="G22">
        <v>0</v>
      </c>
      <c r="H22">
        <v>0</v>
      </c>
      <c r="I22">
        <v>0</v>
      </c>
      <c r="J22">
        <v>98.85</v>
      </c>
      <c r="K22">
        <v>10</v>
      </c>
      <c r="L22">
        <v>108.85</v>
      </c>
      <c r="M22">
        <v>3</v>
      </c>
    </row>
    <row r="23" spans="1:13" hidden="1" x14ac:dyDescent="0.2">
      <c r="A23" t="s">
        <v>913</v>
      </c>
      <c r="B23" t="s">
        <v>14</v>
      </c>
      <c r="C23">
        <v>726684624119</v>
      </c>
      <c r="D23" t="s">
        <v>188</v>
      </c>
      <c r="E23">
        <v>4</v>
      </c>
      <c r="F23">
        <v>133.32</v>
      </c>
      <c r="G23">
        <v>0</v>
      </c>
      <c r="H23">
        <v>0</v>
      </c>
      <c r="I23">
        <v>0</v>
      </c>
      <c r="J23">
        <v>133.32</v>
      </c>
      <c r="K23">
        <v>13.48</v>
      </c>
      <c r="L23">
        <v>146.80000000000001</v>
      </c>
      <c r="M23">
        <v>4</v>
      </c>
    </row>
    <row r="24" spans="1:13" hidden="1" x14ac:dyDescent="0.2">
      <c r="A24" t="s">
        <v>912</v>
      </c>
      <c r="B24" t="s">
        <v>14</v>
      </c>
      <c r="C24">
        <v>9326224002103</v>
      </c>
      <c r="D24" t="s">
        <v>188</v>
      </c>
      <c r="E24">
        <v>2</v>
      </c>
      <c r="F24">
        <v>39.380000000000003</v>
      </c>
      <c r="G24">
        <v>0</v>
      </c>
      <c r="H24">
        <v>0</v>
      </c>
      <c r="I24">
        <v>-8.5</v>
      </c>
      <c r="J24">
        <v>30.88</v>
      </c>
      <c r="K24">
        <v>3.12</v>
      </c>
      <c r="L24">
        <v>34</v>
      </c>
      <c r="M24">
        <v>2</v>
      </c>
    </row>
    <row r="25" spans="1:13" hidden="1" x14ac:dyDescent="0.2">
      <c r="A25" t="s">
        <v>911</v>
      </c>
      <c r="B25" t="s">
        <v>14</v>
      </c>
      <c r="C25">
        <v>9326224002370</v>
      </c>
      <c r="D25" t="s">
        <v>188</v>
      </c>
      <c r="E25">
        <v>1</v>
      </c>
      <c r="F25">
        <v>12.49</v>
      </c>
      <c r="G25">
        <v>0</v>
      </c>
      <c r="H25">
        <v>0</v>
      </c>
      <c r="I25">
        <v>0</v>
      </c>
      <c r="J25">
        <v>12.49</v>
      </c>
      <c r="K25">
        <v>1.26</v>
      </c>
      <c r="L25">
        <v>13.75</v>
      </c>
      <c r="M25">
        <v>1</v>
      </c>
    </row>
    <row r="26" spans="1:13" hidden="1" x14ac:dyDescent="0.2">
      <c r="A26" t="s">
        <v>910</v>
      </c>
      <c r="B26" t="s">
        <v>14</v>
      </c>
      <c r="C26">
        <v>784927406786</v>
      </c>
      <c r="D26" t="s">
        <v>188</v>
      </c>
      <c r="E26">
        <v>1</v>
      </c>
      <c r="F26">
        <v>47.18</v>
      </c>
      <c r="G26">
        <v>0</v>
      </c>
      <c r="H26">
        <v>0</v>
      </c>
      <c r="I26">
        <v>0</v>
      </c>
      <c r="J26">
        <v>47.18</v>
      </c>
      <c r="K26">
        <v>4.7699999999999996</v>
      </c>
      <c r="L26">
        <v>51.95</v>
      </c>
      <c r="M26">
        <v>1</v>
      </c>
    </row>
    <row r="27" spans="1:13" hidden="1" x14ac:dyDescent="0.2">
      <c r="A27" t="s">
        <v>585</v>
      </c>
      <c r="B27" t="s">
        <v>14</v>
      </c>
      <c r="C27">
        <v>9335153000531</v>
      </c>
      <c r="D27" t="s">
        <v>188</v>
      </c>
      <c r="E27">
        <v>1</v>
      </c>
      <c r="F27">
        <v>42.45</v>
      </c>
      <c r="G27">
        <v>0</v>
      </c>
      <c r="H27">
        <v>0</v>
      </c>
      <c r="I27">
        <v>-42.45</v>
      </c>
      <c r="J27">
        <v>0</v>
      </c>
      <c r="K27">
        <v>0</v>
      </c>
      <c r="L27">
        <v>0</v>
      </c>
      <c r="M27">
        <v>1</v>
      </c>
    </row>
    <row r="28" spans="1:13" hidden="1" x14ac:dyDescent="0.2">
      <c r="A28" t="s">
        <v>584</v>
      </c>
      <c r="B28" t="s">
        <v>14</v>
      </c>
      <c r="C28">
        <v>9413000077513</v>
      </c>
      <c r="D28" t="s">
        <v>188</v>
      </c>
      <c r="E28">
        <v>4</v>
      </c>
      <c r="F28">
        <v>28.88</v>
      </c>
      <c r="G28">
        <v>0</v>
      </c>
      <c r="H28">
        <v>0</v>
      </c>
      <c r="I28">
        <v>0</v>
      </c>
      <c r="J28">
        <v>28.88</v>
      </c>
      <c r="K28">
        <v>2.92</v>
      </c>
      <c r="L28">
        <v>31.8</v>
      </c>
      <c r="M28">
        <v>4</v>
      </c>
    </row>
    <row r="29" spans="1:13" hidden="1" x14ac:dyDescent="0.2">
      <c r="A29" t="s">
        <v>909</v>
      </c>
      <c r="B29" t="s">
        <v>14</v>
      </c>
      <c r="C29">
        <v>9421907339023</v>
      </c>
      <c r="D29" t="s">
        <v>188</v>
      </c>
      <c r="E29">
        <v>2</v>
      </c>
      <c r="F29">
        <v>14.49</v>
      </c>
      <c r="G29">
        <v>0</v>
      </c>
      <c r="H29">
        <v>0</v>
      </c>
      <c r="I29">
        <v>0</v>
      </c>
      <c r="J29">
        <v>14.49</v>
      </c>
      <c r="K29">
        <v>1.46</v>
      </c>
      <c r="L29">
        <v>15.95</v>
      </c>
      <c r="M29">
        <v>2</v>
      </c>
    </row>
    <row r="30" spans="1:13" hidden="1" x14ac:dyDescent="0.2">
      <c r="A30" t="s">
        <v>583</v>
      </c>
      <c r="B30" t="s">
        <v>14</v>
      </c>
      <c r="C30">
        <v>9413000077520</v>
      </c>
      <c r="D30" t="s">
        <v>188</v>
      </c>
      <c r="E30">
        <v>7</v>
      </c>
      <c r="F30">
        <v>50.69</v>
      </c>
      <c r="G30">
        <v>0</v>
      </c>
      <c r="H30">
        <v>0</v>
      </c>
      <c r="I30">
        <v>0</v>
      </c>
      <c r="J30">
        <v>50.69</v>
      </c>
      <c r="K30">
        <v>5.1100000000000003</v>
      </c>
      <c r="L30">
        <v>55.8</v>
      </c>
      <c r="M30">
        <v>7</v>
      </c>
    </row>
    <row r="31" spans="1:13" hidden="1" x14ac:dyDescent="0.2">
      <c r="A31" t="s">
        <v>712</v>
      </c>
      <c r="B31" t="s">
        <v>14</v>
      </c>
      <c r="C31">
        <v>9351857008017</v>
      </c>
      <c r="D31" t="s">
        <v>188</v>
      </c>
      <c r="E31">
        <v>1</v>
      </c>
      <c r="F31">
        <v>19.95</v>
      </c>
      <c r="G31">
        <v>0</v>
      </c>
      <c r="H31">
        <v>0</v>
      </c>
      <c r="I31">
        <v>0</v>
      </c>
      <c r="J31">
        <v>19.95</v>
      </c>
      <c r="K31">
        <v>0</v>
      </c>
      <c r="L31">
        <v>19.95</v>
      </c>
      <c r="M31">
        <v>1</v>
      </c>
    </row>
    <row r="32" spans="1:13" hidden="1" x14ac:dyDescent="0.2">
      <c r="A32" t="s">
        <v>908</v>
      </c>
      <c r="B32" t="s">
        <v>14</v>
      </c>
      <c r="C32">
        <v>9351857005276</v>
      </c>
      <c r="D32" t="s">
        <v>188</v>
      </c>
      <c r="E32">
        <v>1</v>
      </c>
      <c r="F32">
        <v>54.5</v>
      </c>
      <c r="G32">
        <v>0</v>
      </c>
      <c r="H32">
        <v>0</v>
      </c>
      <c r="I32">
        <v>0</v>
      </c>
      <c r="J32">
        <v>54.5</v>
      </c>
      <c r="K32">
        <v>0</v>
      </c>
      <c r="L32">
        <v>54.5</v>
      </c>
      <c r="M32">
        <v>1</v>
      </c>
    </row>
    <row r="33" spans="1:13" hidden="1" x14ac:dyDescent="0.2">
      <c r="A33" t="s">
        <v>907</v>
      </c>
      <c r="B33" t="s">
        <v>14</v>
      </c>
      <c r="C33">
        <v>9351857002534</v>
      </c>
      <c r="D33" t="s">
        <v>188</v>
      </c>
      <c r="E33">
        <v>1</v>
      </c>
      <c r="F33">
        <v>13.75</v>
      </c>
      <c r="G33">
        <v>0</v>
      </c>
      <c r="H33">
        <v>0</v>
      </c>
      <c r="I33">
        <v>0</v>
      </c>
      <c r="J33">
        <v>13.75</v>
      </c>
      <c r="K33">
        <v>0</v>
      </c>
      <c r="L33">
        <v>13.75</v>
      </c>
      <c r="M33">
        <v>1</v>
      </c>
    </row>
    <row r="34" spans="1:13" hidden="1" x14ac:dyDescent="0.2">
      <c r="A34" t="s">
        <v>906</v>
      </c>
      <c r="B34" t="s">
        <v>14</v>
      </c>
      <c r="C34">
        <v>9312628016983</v>
      </c>
      <c r="D34" t="s">
        <v>188</v>
      </c>
      <c r="E34">
        <v>1</v>
      </c>
      <c r="F34">
        <v>17.21</v>
      </c>
      <c r="G34">
        <v>0</v>
      </c>
      <c r="H34">
        <v>0</v>
      </c>
      <c r="I34">
        <v>0</v>
      </c>
      <c r="J34">
        <v>17.21</v>
      </c>
      <c r="K34">
        <v>1.74</v>
      </c>
      <c r="L34">
        <v>18.95</v>
      </c>
      <c r="M34">
        <v>1</v>
      </c>
    </row>
    <row r="35" spans="1:13" hidden="1" x14ac:dyDescent="0.2">
      <c r="A35" t="s">
        <v>711</v>
      </c>
      <c r="B35" t="s">
        <v>14</v>
      </c>
      <c r="C35">
        <v>793618169336</v>
      </c>
      <c r="D35" t="s">
        <v>188</v>
      </c>
      <c r="E35">
        <v>1</v>
      </c>
      <c r="F35">
        <v>33.590000000000003</v>
      </c>
      <c r="G35">
        <v>0</v>
      </c>
      <c r="H35">
        <v>0</v>
      </c>
      <c r="I35">
        <v>0</v>
      </c>
      <c r="J35">
        <v>33.590000000000003</v>
      </c>
      <c r="K35">
        <v>3.36</v>
      </c>
      <c r="L35">
        <v>36.950000000000003</v>
      </c>
      <c r="M35">
        <v>1</v>
      </c>
    </row>
    <row r="36" spans="1:13" hidden="1" x14ac:dyDescent="0.2">
      <c r="A36" t="s">
        <v>905</v>
      </c>
      <c r="B36" t="s">
        <v>14</v>
      </c>
      <c r="C36">
        <v>9351906005158</v>
      </c>
      <c r="D36" t="s">
        <v>188</v>
      </c>
      <c r="E36">
        <v>1</v>
      </c>
      <c r="F36">
        <v>61.71</v>
      </c>
      <c r="G36">
        <v>0</v>
      </c>
      <c r="H36">
        <v>0</v>
      </c>
      <c r="I36">
        <v>0</v>
      </c>
      <c r="J36">
        <v>61.71</v>
      </c>
      <c r="K36">
        <v>6.24</v>
      </c>
      <c r="L36">
        <v>67.95</v>
      </c>
      <c r="M36">
        <v>1</v>
      </c>
    </row>
    <row r="37" spans="1:13" hidden="1" x14ac:dyDescent="0.2">
      <c r="A37" t="s">
        <v>710</v>
      </c>
      <c r="B37" t="s">
        <v>14</v>
      </c>
      <c r="C37">
        <v>784927299364</v>
      </c>
      <c r="D37" t="s">
        <v>188</v>
      </c>
      <c r="E37">
        <v>1</v>
      </c>
      <c r="F37">
        <v>22.6</v>
      </c>
      <c r="G37">
        <v>0</v>
      </c>
      <c r="H37">
        <v>0</v>
      </c>
      <c r="I37">
        <v>0</v>
      </c>
      <c r="J37">
        <v>22.6</v>
      </c>
      <c r="K37">
        <v>0</v>
      </c>
      <c r="L37">
        <v>22.6</v>
      </c>
      <c r="M37">
        <v>1</v>
      </c>
    </row>
    <row r="38" spans="1:13" hidden="1" x14ac:dyDescent="0.2">
      <c r="A38" t="s">
        <v>904</v>
      </c>
      <c r="B38" t="s">
        <v>14</v>
      </c>
      <c r="C38">
        <v>9400501003493</v>
      </c>
      <c r="D38" t="s">
        <v>188</v>
      </c>
      <c r="E38">
        <v>1</v>
      </c>
      <c r="F38">
        <v>32.78</v>
      </c>
      <c r="G38">
        <v>0</v>
      </c>
      <c r="H38">
        <v>0</v>
      </c>
      <c r="I38">
        <v>0</v>
      </c>
      <c r="J38">
        <v>32.78</v>
      </c>
      <c r="K38">
        <v>3.32</v>
      </c>
      <c r="L38">
        <v>36.1</v>
      </c>
      <c r="M38">
        <v>1</v>
      </c>
    </row>
    <row r="39" spans="1:13" hidden="1" x14ac:dyDescent="0.2">
      <c r="A39" t="s">
        <v>903</v>
      </c>
      <c r="B39" t="s">
        <v>14</v>
      </c>
      <c r="C39">
        <v>9357204000772</v>
      </c>
      <c r="D39" t="s">
        <v>188</v>
      </c>
      <c r="E39">
        <v>1</v>
      </c>
      <c r="F39">
        <v>48.28</v>
      </c>
      <c r="G39">
        <v>0</v>
      </c>
      <c r="H39">
        <v>0</v>
      </c>
      <c r="I39">
        <v>-2.08</v>
      </c>
      <c r="J39">
        <v>46.2</v>
      </c>
      <c r="K39">
        <v>4.67</v>
      </c>
      <c r="L39">
        <v>50.87</v>
      </c>
      <c r="M39">
        <v>1</v>
      </c>
    </row>
  </sheetData>
  <pageMargins left="0.7" right="0.7" top="0.75" bottom="0.75" header="0.3" footer="0.3"/>
  <pageSetup paperSize="9" orientation="portrait" horizontalDpi="0" verticalDpi="0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9E62C0-0AC7-DB4F-9E4C-49320282066A}">
  <dimension ref="A1:M53"/>
  <sheetViews>
    <sheetView workbookViewId="0">
      <selection activeCell="J1" sqref="J1:J1048576"/>
    </sheetView>
  </sheetViews>
  <sheetFormatPr baseColWidth="10" defaultRowHeight="16" x14ac:dyDescent="0.2"/>
  <cols>
    <col min="1" max="1" width="45.1640625" bestFit="1" customWidth="1"/>
    <col min="2" max="2" width="15.33203125" bestFit="1" customWidth="1"/>
    <col min="3" max="3" width="12.1640625" bestFit="1" customWidth="1"/>
    <col min="4" max="4" width="23.1640625" bestFit="1" customWidth="1"/>
    <col min="5" max="5" width="12.33203125" bestFit="1" customWidth="1"/>
    <col min="6" max="6" width="15" bestFit="1" customWidth="1"/>
    <col min="7" max="7" width="16.6640625" bestFit="1" customWidth="1"/>
    <col min="8" max="8" width="11" bestFit="1" customWidth="1"/>
    <col min="9" max="9" width="20.1640625" bestFit="1" customWidth="1"/>
    <col min="10" max="10" width="11.5" bestFit="1" customWidth="1"/>
    <col min="11" max="11" width="11" bestFit="1" customWidth="1"/>
    <col min="12" max="12" width="13.5" bestFit="1" customWidth="1"/>
    <col min="13" max="13" width="11.83203125" bestFit="1" customWidth="1"/>
  </cols>
  <sheetData>
    <row r="1" spans="1:13" x14ac:dyDescent="0.2">
      <c r="A1" s="4" t="s">
        <v>1359</v>
      </c>
    </row>
    <row r="3" spans="1:13" x14ac:dyDescent="0.2">
      <c r="A3" t="s">
        <v>0</v>
      </c>
      <c r="B3" t="s">
        <v>1</v>
      </c>
      <c r="C3" t="s">
        <v>2</v>
      </c>
      <c r="D3" t="s">
        <v>3</v>
      </c>
      <c r="E3" t="s">
        <v>4</v>
      </c>
      <c r="F3" t="s">
        <v>5</v>
      </c>
      <c r="G3" t="s">
        <v>6</v>
      </c>
      <c r="H3" t="s">
        <v>7</v>
      </c>
      <c r="I3" t="s">
        <v>8</v>
      </c>
      <c r="J3" t="s">
        <v>9</v>
      </c>
      <c r="K3" t="s">
        <v>10</v>
      </c>
      <c r="L3" t="s">
        <v>11</v>
      </c>
      <c r="M3" t="s">
        <v>12</v>
      </c>
    </row>
    <row r="4" spans="1:13" hidden="1" x14ac:dyDescent="0.2">
      <c r="A4" t="s">
        <v>990</v>
      </c>
      <c r="B4" t="s">
        <v>14</v>
      </c>
      <c r="C4">
        <v>858010005108</v>
      </c>
      <c r="D4" t="s">
        <v>74</v>
      </c>
      <c r="E4">
        <v>3</v>
      </c>
      <c r="F4">
        <v>12.53</v>
      </c>
      <c r="G4">
        <v>0</v>
      </c>
      <c r="H4">
        <v>0</v>
      </c>
      <c r="I4">
        <v>0</v>
      </c>
      <c r="J4">
        <v>12.53</v>
      </c>
      <c r="K4">
        <v>1.27</v>
      </c>
      <c r="L4">
        <v>13.8</v>
      </c>
      <c r="M4">
        <v>3</v>
      </c>
    </row>
    <row r="5" spans="1:13" hidden="1" x14ac:dyDescent="0.2">
      <c r="A5" t="s">
        <v>772</v>
      </c>
      <c r="B5" t="s">
        <v>14</v>
      </c>
      <c r="C5">
        <v>8720701144859</v>
      </c>
      <c r="D5" t="s">
        <v>74</v>
      </c>
      <c r="E5">
        <v>1</v>
      </c>
      <c r="F5">
        <v>13.26</v>
      </c>
      <c r="G5">
        <v>0</v>
      </c>
      <c r="H5">
        <v>0</v>
      </c>
      <c r="I5">
        <v>0</v>
      </c>
      <c r="J5">
        <v>13.26</v>
      </c>
      <c r="K5">
        <v>1.34</v>
      </c>
      <c r="L5">
        <v>14.6</v>
      </c>
      <c r="M5">
        <v>1</v>
      </c>
    </row>
    <row r="6" spans="1:13" hidden="1" x14ac:dyDescent="0.2">
      <c r="A6" t="s">
        <v>516</v>
      </c>
      <c r="B6" t="s">
        <v>14</v>
      </c>
      <c r="C6">
        <v>9338415000003</v>
      </c>
      <c r="D6" t="s">
        <v>74</v>
      </c>
      <c r="E6">
        <v>1</v>
      </c>
      <c r="F6">
        <v>17.98</v>
      </c>
      <c r="G6">
        <v>0</v>
      </c>
      <c r="H6">
        <v>0</v>
      </c>
      <c r="I6">
        <v>0</v>
      </c>
      <c r="J6">
        <v>17.98</v>
      </c>
      <c r="K6">
        <v>1.82</v>
      </c>
      <c r="L6">
        <v>19.8</v>
      </c>
      <c r="M6">
        <v>1</v>
      </c>
    </row>
    <row r="7" spans="1:13" hidden="1" x14ac:dyDescent="0.2">
      <c r="A7" t="s">
        <v>619</v>
      </c>
      <c r="B7" t="s">
        <v>14</v>
      </c>
      <c r="C7">
        <v>9338415000287</v>
      </c>
      <c r="D7" t="s">
        <v>74</v>
      </c>
      <c r="E7">
        <v>3</v>
      </c>
      <c r="F7">
        <v>51.49</v>
      </c>
      <c r="G7">
        <v>0</v>
      </c>
      <c r="H7">
        <v>0</v>
      </c>
      <c r="I7">
        <v>0</v>
      </c>
      <c r="J7">
        <v>51.49</v>
      </c>
      <c r="K7">
        <v>5.21</v>
      </c>
      <c r="L7">
        <v>56.7</v>
      </c>
      <c r="M7">
        <v>3</v>
      </c>
    </row>
    <row r="8" spans="1:13" hidden="1" x14ac:dyDescent="0.2">
      <c r="A8" t="s">
        <v>89</v>
      </c>
      <c r="B8" t="s">
        <v>14</v>
      </c>
      <c r="C8">
        <v>9338415000263</v>
      </c>
      <c r="D8" t="s">
        <v>74</v>
      </c>
      <c r="E8">
        <v>4</v>
      </c>
      <c r="F8">
        <v>71.92</v>
      </c>
      <c r="G8">
        <v>0</v>
      </c>
      <c r="H8">
        <v>0</v>
      </c>
      <c r="I8">
        <v>0</v>
      </c>
      <c r="J8">
        <v>71.92</v>
      </c>
      <c r="K8">
        <v>7.28</v>
      </c>
      <c r="L8">
        <v>79.2</v>
      </c>
      <c r="M8">
        <v>4</v>
      </c>
    </row>
    <row r="9" spans="1:13" hidden="1" x14ac:dyDescent="0.2">
      <c r="A9" t="s">
        <v>989</v>
      </c>
      <c r="B9" t="s">
        <v>14</v>
      </c>
      <c r="C9">
        <v>9346659002516</v>
      </c>
      <c r="D9" t="s">
        <v>74</v>
      </c>
      <c r="E9">
        <v>1</v>
      </c>
      <c r="F9">
        <v>16.07</v>
      </c>
      <c r="G9">
        <v>0</v>
      </c>
      <c r="H9">
        <v>0</v>
      </c>
      <c r="I9">
        <v>-7.38</v>
      </c>
      <c r="J9">
        <v>8.69</v>
      </c>
      <c r="K9">
        <v>0.88</v>
      </c>
      <c r="L9">
        <v>9.57</v>
      </c>
      <c r="M9">
        <v>1</v>
      </c>
    </row>
    <row r="10" spans="1:13" hidden="1" x14ac:dyDescent="0.2">
      <c r="A10" t="s">
        <v>988</v>
      </c>
      <c r="B10" t="s">
        <v>14</v>
      </c>
      <c r="C10">
        <v>9346659003346</v>
      </c>
      <c r="D10" t="s">
        <v>74</v>
      </c>
      <c r="E10">
        <v>2</v>
      </c>
      <c r="F10">
        <v>27.16</v>
      </c>
      <c r="G10">
        <v>0</v>
      </c>
      <c r="H10">
        <v>0</v>
      </c>
      <c r="I10">
        <v>0</v>
      </c>
      <c r="J10">
        <v>27.16</v>
      </c>
      <c r="K10">
        <v>2.74</v>
      </c>
      <c r="L10">
        <v>29.9</v>
      </c>
      <c r="M10">
        <v>2</v>
      </c>
    </row>
    <row r="11" spans="1:13" hidden="1" x14ac:dyDescent="0.2">
      <c r="A11" t="s">
        <v>771</v>
      </c>
      <c r="B11" t="s">
        <v>14</v>
      </c>
      <c r="C11">
        <v>743966127687</v>
      </c>
      <c r="D11" t="s">
        <v>74</v>
      </c>
      <c r="E11">
        <v>1</v>
      </c>
      <c r="F11">
        <v>12.75</v>
      </c>
      <c r="G11">
        <v>0</v>
      </c>
      <c r="H11">
        <v>0</v>
      </c>
      <c r="I11">
        <v>0</v>
      </c>
      <c r="J11">
        <v>12.75</v>
      </c>
      <c r="K11">
        <v>0</v>
      </c>
      <c r="L11">
        <v>12.75</v>
      </c>
      <c r="M11">
        <v>1</v>
      </c>
    </row>
    <row r="12" spans="1:13" x14ac:dyDescent="0.2">
      <c r="A12" t="s">
        <v>770</v>
      </c>
      <c r="B12" t="s">
        <v>14</v>
      </c>
      <c r="C12">
        <v>9357490000074</v>
      </c>
      <c r="D12" t="s">
        <v>74</v>
      </c>
      <c r="E12">
        <v>2</v>
      </c>
      <c r="F12">
        <v>12.62</v>
      </c>
      <c r="G12">
        <v>0</v>
      </c>
      <c r="H12">
        <v>0</v>
      </c>
      <c r="I12">
        <v>0</v>
      </c>
      <c r="J12">
        <v>12.62</v>
      </c>
      <c r="K12">
        <v>1.28</v>
      </c>
      <c r="L12">
        <v>13.9</v>
      </c>
      <c r="M12">
        <v>2</v>
      </c>
    </row>
    <row r="13" spans="1:13" x14ac:dyDescent="0.2">
      <c r="A13" t="s">
        <v>88</v>
      </c>
      <c r="B13" t="s">
        <v>14</v>
      </c>
      <c r="C13">
        <v>9357490000180</v>
      </c>
      <c r="D13" t="s">
        <v>74</v>
      </c>
      <c r="E13">
        <v>2</v>
      </c>
      <c r="F13">
        <v>25.35</v>
      </c>
      <c r="G13">
        <v>0</v>
      </c>
      <c r="H13">
        <v>0</v>
      </c>
      <c r="I13">
        <v>0</v>
      </c>
      <c r="J13">
        <v>25.35</v>
      </c>
      <c r="K13">
        <v>2.5499999999999998</v>
      </c>
      <c r="L13">
        <v>27.9</v>
      </c>
      <c r="M13">
        <v>2</v>
      </c>
    </row>
    <row r="14" spans="1:13" x14ac:dyDescent="0.2">
      <c r="A14" t="s">
        <v>769</v>
      </c>
      <c r="B14" t="s">
        <v>14</v>
      </c>
      <c r="C14">
        <v>9357490000166</v>
      </c>
      <c r="D14" t="s">
        <v>74</v>
      </c>
      <c r="E14">
        <v>9</v>
      </c>
      <c r="F14">
        <v>114.6</v>
      </c>
      <c r="G14">
        <v>0</v>
      </c>
      <c r="H14">
        <v>0</v>
      </c>
      <c r="I14">
        <v>-6.2</v>
      </c>
      <c r="J14">
        <v>108.4</v>
      </c>
      <c r="K14">
        <v>10.95</v>
      </c>
      <c r="L14">
        <v>119.35</v>
      </c>
      <c r="M14">
        <v>9</v>
      </c>
    </row>
    <row r="15" spans="1:13" x14ac:dyDescent="0.2">
      <c r="A15" t="s">
        <v>334</v>
      </c>
      <c r="B15" t="s">
        <v>14</v>
      </c>
      <c r="C15">
        <v>9357490000722</v>
      </c>
      <c r="D15" t="s">
        <v>74</v>
      </c>
      <c r="E15">
        <v>5</v>
      </c>
      <c r="F15">
        <v>63.61</v>
      </c>
      <c r="G15">
        <v>0</v>
      </c>
      <c r="H15">
        <v>0</v>
      </c>
      <c r="I15">
        <v>-2.8</v>
      </c>
      <c r="J15">
        <v>60.81</v>
      </c>
      <c r="K15">
        <v>6.14</v>
      </c>
      <c r="L15">
        <v>66.95</v>
      </c>
      <c r="M15">
        <v>5</v>
      </c>
    </row>
    <row r="16" spans="1:13" x14ac:dyDescent="0.2">
      <c r="A16" t="s">
        <v>87</v>
      </c>
      <c r="B16" t="s">
        <v>14</v>
      </c>
      <c r="C16">
        <v>9357490000173</v>
      </c>
      <c r="D16" t="s">
        <v>74</v>
      </c>
      <c r="E16">
        <v>4</v>
      </c>
      <c r="F16">
        <v>50.68</v>
      </c>
      <c r="G16">
        <v>0</v>
      </c>
      <c r="H16">
        <v>0</v>
      </c>
      <c r="I16">
        <v>0</v>
      </c>
      <c r="J16">
        <v>50.68</v>
      </c>
      <c r="K16">
        <v>5.12</v>
      </c>
      <c r="L16">
        <v>55.8</v>
      </c>
      <c r="M16">
        <v>4</v>
      </c>
    </row>
    <row r="17" spans="1:13" x14ac:dyDescent="0.2">
      <c r="A17" t="s">
        <v>515</v>
      </c>
      <c r="B17" t="s">
        <v>14</v>
      </c>
      <c r="C17">
        <v>9357490000197</v>
      </c>
      <c r="D17" t="s">
        <v>74</v>
      </c>
      <c r="E17">
        <v>5</v>
      </c>
      <c r="F17">
        <v>63.36</v>
      </c>
      <c r="G17">
        <v>0</v>
      </c>
      <c r="H17">
        <v>0</v>
      </c>
      <c r="I17">
        <v>0</v>
      </c>
      <c r="J17">
        <v>63.36</v>
      </c>
      <c r="K17">
        <v>6.39</v>
      </c>
      <c r="L17">
        <v>69.75</v>
      </c>
      <c r="M17">
        <v>5</v>
      </c>
    </row>
    <row r="18" spans="1:13" x14ac:dyDescent="0.2">
      <c r="A18" t="s">
        <v>86</v>
      </c>
      <c r="B18" t="s">
        <v>14</v>
      </c>
      <c r="C18">
        <v>9357490000241</v>
      </c>
      <c r="D18" t="s">
        <v>74</v>
      </c>
      <c r="E18">
        <v>7</v>
      </c>
      <c r="F18">
        <v>88.69</v>
      </c>
      <c r="G18">
        <v>0</v>
      </c>
      <c r="H18">
        <v>0</v>
      </c>
      <c r="I18">
        <v>0</v>
      </c>
      <c r="J18">
        <v>88.69</v>
      </c>
      <c r="K18">
        <v>8.9600000000000009</v>
      </c>
      <c r="L18">
        <v>97.65</v>
      </c>
      <c r="M18">
        <v>7</v>
      </c>
    </row>
    <row r="19" spans="1:13" x14ac:dyDescent="0.2">
      <c r="A19" t="s">
        <v>987</v>
      </c>
      <c r="B19" t="s">
        <v>14</v>
      </c>
      <c r="C19">
        <v>9357490000432</v>
      </c>
      <c r="D19" t="s">
        <v>74</v>
      </c>
      <c r="E19">
        <v>13</v>
      </c>
      <c r="F19">
        <v>165.03</v>
      </c>
      <c r="G19">
        <v>0</v>
      </c>
      <c r="H19">
        <v>0</v>
      </c>
      <c r="I19">
        <v>-3.43</v>
      </c>
      <c r="J19">
        <v>161.6</v>
      </c>
      <c r="K19">
        <v>16.32</v>
      </c>
      <c r="L19">
        <v>177.92</v>
      </c>
      <c r="M19">
        <v>13</v>
      </c>
    </row>
    <row r="20" spans="1:13" x14ac:dyDescent="0.2">
      <c r="A20" t="s">
        <v>85</v>
      </c>
      <c r="B20" t="s">
        <v>14</v>
      </c>
      <c r="C20">
        <v>9357490000159</v>
      </c>
      <c r="D20" t="s">
        <v>74</v>
      </c>
      <c r="E20">
        <v>5</v>
      </c>
      <c r="F20">
        <v>63.42</v>
      </c>
      <c r="G20">
        <v>0</v>
      </c>
      <c r="H20">
        <v>0</v>
      </c>
      <c r="I20">
        <v>-0.76</v>
      </c>
      <c r="J20">
        <v>62.66</v>
      </c>
      <c r="K20">
        <v>6.33</v>
      </c>
      <c r="L20">
        <v>68.989999999999995</v>
      </c>
      <c r="M20">
        <v>5</v>
      </c>
    </row>
    <row r="21" spans="1:13" x14ac:dyDescent="0.2">
      <c r="A21" t="s">
        <v>84</v>
      </c>
      <c r="B21" t="s">
        <v>14</v>
      </c>
      <c r="C21">
        <v>9357490000203</v>
      </c>
      <c r="D21" t="s">
        <v>74</v>
      </c>
      <c r="E21">
        <v>2</v>
      </c>
      <c r="F21">
        <v>25.34</v>
      </c>
      <c r="G21">
        <v>0</v>
      </c>
      <c r="H21">
        <v>0</v>
      </c>
      <c r="I21">
        <v>0</v>
      </c>
      <c r="J21">
        <v>25.34</v>
      </c>
      <c r="K21">
        <v>2.56</v>
      </c>
      <c r="L21">
        <v>27.9</v>
      </c>
      <c r="M21">
        <v>2</v>
      </c>
    </row>
    <row r="22" spans="1:13" x14ac:dyDescent="0.2">
      <c r="A22" t="s">
        <v>83</v>
      </c>
      <c r="B22" t="s">
        <v>14</v>
      </c>
      <c r="C22">
        <v>9357490000227</v>
      </c>
      <c r="D22" t="s">
        <v>74</v>
      </c>
      <c r="E22">
        <v>6</v>
      </c>
      <c r="F22">
        <v>76.02</v>
      </c>
      <c r="G22">
        <v>0</v>
      </c>
      <c r="H22">
        <v>0</v>
      </c>
      <c r="I22">
        <v>0</v>
      </c>
      <c r="J22">
        <v>76.02</v>
      </c>
      <c r="K22">
        <v>7.68</v>
      </c>
      <c r="L22">
        <v>83.7</v>
      </c>
      <c r="M22">
        <v>6</v>
      </c>
    </row>
    <row r="23" spans="1:13" x14ac:dyDescent="0.2">
      <c r="A23" t="s">
        <v>82</v>
      </c>
      <c r="B23" t="s">
        <v>14</v>
      </c>
      <c r="C23">
        <v>9357490000050</v>
      </c>
      <c r="D23" t="s">
        <v>74</v>
      </c>
      <c r="E23">
        <v>10</v>
      </c>
      <c r="F23">
        <v>63.82</v>
      </c>
      <c r="G23">
        <v>0</v>
      </c>
      <c r="H23">
        <v>0</v>
      </c>
      <c r="I23">
        <v>-7.78</v>
      </c>
      <c r="J23">
        <v>56.04</v>
      </c>
      <c r="K23">
        <v>5.68</v>
      </c>
      <c r="L23">
        <v>61.72</v>
      </c>
      <c r="M23">
        <v>10</v>
      </c>
    </row>
    <row r="24" spans="1:13" x14ac:dyDescent="0.2">
      <c r="A24" t="s">
        <v>333</v>
      </c>
      <c r="B24" t="s">
        <v>14</v>
      </c>
      <c r="C24">
        <v>9357490000715</v>
      </c>
      <c r="D24" t="s">
        <v>74</v>
      </c>
      <c r="E24">
        <v>2</v>
      </c>
      <c r="F24">
        <v>12.62</v>
      </c>
      <c r="G24">
        <v>0</v>
      </c>
      <c r="H24">
        <v>0</v>
      </c>
      <c r="I24">
        <v>0</v>
      </c>
      <c r="J24">
        <v>12.62</v>
      </c>
      <c r="K24">
        <v>1.28</v>
      </c>
      <c r="L24">
        <v>13.9</v>
      </c>
      <c r="M24">
        <v>2</v>
      </c>
    </row>
    <row r="25" spans="1:13" x14ac:dyDescent="0.2">
      <c r="A25" t="s">
        <v>768</v>
      </c>
      <c r="B25" t="s">
        <v>14</v>
      </c>
      <c r="C25">
        <v>9357490000289</v>
      </c>
      <c r="D25" t="s">
        <v>74</v>
      </c>
      <c r="E25">
        <v>2</v>
      </c>
      <c r="F25">
        <v>39.869999999999997</v>
      </c>
      <c r="G25">
        <v>0</v>
      </c>
      <c r="H25">
        <v>0</v>
      </c>
      <c r="I25">
        <v>0</v>
      </c>
      <c r="J25">
        <v>39.869999999999997</v>
      </c>
      <c r="K25">
        <v>4.03</v>
      </c>
      <c r="L25">
        <v>43.9</v>
      </c>
      <c r="M25">
        <v>2</v>
      </c>
    </row>
    <row r="26" spans="1:13" x14ac:dyDescent="0.2">
      <c r="A26" t="s">
        <v>81</v>
      </c>
      <c r="B26" t="s">
        <v>14</v>
      </c>
      <c r="C26">
        <v>9357490000067</v>
      </c>
      <c r="D26" t="s">
        <v>74</v>
      </c>
      <c r="E26">
        <v>4</v>
      </c>
      <c r="F26">
        <v>25.24</v>
      </c>
      <c r="G26">
        <v>0</v>
      </c>
      <c r="H26">
        <v>0</v>
      </c>
      <c r="I26">
        <v>0</v>
      </c>
      <c r="J26">
        <v>25.24</v>
      </c>
      <c r="K26">
        <v>2.56</v>
      </c>
      <c r="L26">
        <v>27.8</v>
      </c>
      <c r="M26">
        <v>4</v>
      </c>
    </row>
    <row r="27" spans="1:13" x14ac:dyDescent="0.2">
      <c r="A27" t="s">
        <v>332</v>
      </c>
      <c r="B27" t="s">
        <v>14</v>
      </c>
      <c r="C27">
        <v>9357490000081</v>
      </c>
      <c r="D27" t="s">
        <v>74</v>
      </c>
      <c r="E27">
        <v>4</v>
      </c>
      <c r="F27">
        <v>25.24</v>
      </c>
      <c r="G27">
        <v>0</v>
      </c>
      <c r="H27">
        <v>0</v>
      </c>
      <c r="I27">
        <v>0</v>
      </c>
      <c r="J27">
        <v>25.24</v>
      </c>
      <c r="K27">
        <v>2.56</v>
      </c>
      <c r="L27">
        <v>27.8</v>
      </c>
      <c r="M27">
        <v>4</v>
      </c>
    </row>
    <row r="28" spans="1:13" x14ac:dyDescent="0.2">
      <c r="A28" t="s">
        <v>986</v>
      </c>
      <c r="B28" t="s">
        <v>14</v>
      </c>
      <c r="C28">
        <v>9357490000272</v>
      </c>
      <c r="D28" t="s">
        <v>74</v>
      </c>
      <c r="E28">
        <v>3</v>
      </c>
      <c r="F28">
        <v>59.8</v>
      </c>
      <c r="G28">
        <v>0</v>
      </c>
      <c r="H28">
        <v>0</v>
      </c>
      <c r="I28">
        <v>0</v>
      </c>
      <c r="J28">
        <v>59.8</v>
      </c>
      <c r="K28">
        <v>6.05</v>
      </c>
      <c r="L28">
        <v>65.849999999999994</v>
      </c>
      <c r="M28">
        <v>3</v>
      </c>
    </row>
    <row r="29" spans="1:13" x14ac:dyDescent="0.2">
      <c r="A29" t="s">
        <v>80</v>
      </c>
      <c r="B29" t="s">
        <v>14</v>
      </c>
      <c r="C29">
        <v>9357490000135</v>
      </c>
      <c r="D29" t="s">
        <v>74</v>
      </c>
      <c r="E29">
        <v>4</v>
      </c>
      <c r="F29">
        <v>25.46</v>
      </c>
      <c r="G29">
        <v>0</v>
      </c>
      <c r="H29">
        <v>0</v>
      </c>
      <c r="I29">
        <v>-2.33</v>
      </c>
      <c r="J29">
        <v>23.13</v>
      </c>
      <c r="K29">
        <v>2.34</v>
      </c>
      <c r="L29">
        <v>25.47</v>
      </c>
      <c r="M29">
        <v>4</v>
      </c>
    </row>
    <row r="30" spans="1:13" x14ac:dyDescent="0.2">
      <c r="A30" t="s">
        <v>79</v>
      </c>
      <c r="B30" t="s">
        <v>14</v>
      </c>
      <c r="C30">
        <v>9357490000425</v>
      </c>
      <c r="D30" t="s">
        <v>74</v>
      </c>
      <c r="E30">
        <v>5</v>
      </c>
      <c r="F30">
        <v>31.68</v>
      </c>
      <c r="G30">
        <v>0</v>
      </c>
      <c r="H30">
        <v>0</v>
      </c>
      <c r="I30">
        <v>-1.39</v>
      </c>
      <c r="J30">
        <v>30.29</v>
      </c>
      <c r="K30">
        <v>3.07</v>
      </c>
      <c r="L30">
        <v>33.36</v>
      </c>
      <c r="M30">
        <v>5</v>
      </c>
    </row>
    <row r="31" spans="1:13" x14ac:dyDescent="0.2">
      <c r="A31" t="s">
        <v>78</v>
      </c>
      <c r="B31" t="s">
        <v>14</v>
      </c>
      <c r="C31">
        <v>9357490000043</v>
      </c>
      <c r="D31" t="s">
        <v>74</v>
      </c>
      <c r="E31">
        <v>7</v>
      </c>
      <c r="F31">
        <v>44.22</v>
      </c>
      <c r="G31">
        <v>0</v>
      </c>
      <c r="H31">
        <v>0</v>
      </c>
      <c r="I31">
        <v>-0.52</v>
      </c>
      <c r="J31">
        <v>43.7</v>
      </c>
      <c r="K31">
        <v>4.43</v>
      </c>
      <c r="L31">
        <v>48.13</v>
      </c>
      <c r="M31">
        <v>7</v>
      </c>
    </row>
    <row r="32" spans="1:13" x14ac:dyDescent="0.2">
      <c r="A32" t="s">
        <v>985</v>
      </c>
      <c r="B32" t="s">
        <v>14</v>
      </c>
      <c r="C32">
        <v>9357490000098</v>
      </c>
      <c r="D32" t="s">
        <v>74</v>
      </c>
      <c r="E32">
        <v>4</v>
      </c>
      <c r="F32">
        <v>25.25</v>
      </c>
      <c r="G32">
        <v>0</v>
      </c>
      <c r="H32">
        <v>0</v>
      </c>
      <c r="I32">
        <v>0</v>
      </c>
      <c r="J32">
        <v>25.25</v>
      </c>
      <c r="K32">
        <v>2.5499999999999998</v>
      </c>
      <c r="L32">
        <v>27.8</v>
      </c>
      <c r="M32">
        <v>4</v>
      </c>
    </row>
    <row r="33" spans="1:13" x14ac:dyDescent="0.2">
      <c r="A33" t="s">
        <v>514</v>
      </c>
      <c r="B33" t="s">
        <v>14</v>
      </c>
      <c r="C33">
        <v>9357490000890</v>
      </c>
      <c r="D33" t="s">
        <v>74</v>
      </c>
      <c r="E33">
        <v>3</v>
      </c>
      <c r="F33">
        <v>81.599999999999994</v>
      </c>
      <c r="G33">
        <v>0</v>
      </c>
      <c r="H33">
        <v>0</v>
      </c>
      <c r="I33">
        <v>0</v>
      </c>
      <c r="J33">
        <v>81.599999999999994</v>
      </c>
      <c r="K33">
        <v>8.25</v>
      </c>
      <c r="L33">
        <v>89.85</v>
      </c>
      <c r="M33">
        <v>3</v>
      </c>
    </row>
    <row r="34" spans="1:13" x14ac:dyDescent="0.2">
      <c r="A34" t="s">
        <v>513</v>
      </c>
      <c r="B34" t="s">
        <v>14</v>
      </c>
      <c r="C34">
        <v>9357490000869</v>
      </c>
      <c r="D34" t="s">
        <v>74</v>
      </c>
      <c r="E34">
        <v>6</v>
      </c>
      <c r="F34">
        <v>163.22999999999999</v>
      </c>
      <c r="G34">
        <v>0</v>
      </c>
      <c r="H34">
        <v>0</v>
      </c>
      <c r="I34">
        <v>0</v>
      </c>
      <c r="J34">
        <v>163.22999999999999</v>
      </c>
      <c r="K34">
        <v>16.47</v>
      </c>
      <c r="L34">
        <v>179.7</v>
      </c>
      <c r="M34">
        <v>6</v>
      </c>
    </row>
    <row r="35" spans="1:13" x14ac:dyDescent="0.2">
      <c r="A35" t="s">
        <v>512</v>
      </c>
      <c r="B35" t="s">
        <v>14</v>
      </c>
      <c r="C35">
        <v>9357490000876</v>
      </c>
      <c r="D35" t="s">
        <v>74</v>
      </c>
      <c r="E35">
        <v>7</v>
      </c>
      <c r="F35">
        <v>190.4</v>
      </c>
      <c r="G35">
        <v>0</v>
      </c>
      <c r="H35">
        <v>0</v>
      </c>
      <c r="I35">
        <v>0</v>
      </c>
      <c r="J35">
        <v>190.4</v>
      </c>
      <c r="K35">
        <v>19.25</v>
      </c>
      <c r="L35">
        <v>209.65</v>
      </c>
      <c r="M35">
        <v>7</v>
      </c>
    </row>
    <row r="36" spans="1:13" x14ac:dyDescent="0.2">
      <c r="A36" t="s">
        <v>511</v>
      </c>
      <c r="B36" t="s">
        <v>14</v>
      </c>
      <c r="C36">
        <v>9357490000883</v>
      </c>
      <c r="D36" t="s">
        <v>74</v>
      </c>
      <c r="E36">
        <v>4</v>
      </c>
      <c r="F36">
        <v>109.17</v>
      </c>
      <c r="G36">
        <v>0</v>
      </c>
      <c r="H36">
        <v>0</v>
      </c>
      <c r="I36">
        <v>-4.0599999999999996</v>
      </c>
      <c r="J36">
        <v>105.11</v>
      </c>
      <c r="K36">
        <v>10.63</v>
      </c>
      <c r="L36">
        <v>115.74</v>
      </c>
      <c r="M36">
        <v>4</v>
      </c>
    </row>
    <row r="37" spans="1:13" hidden="1" x14ac:dyDescent="0.2">
      <c r="A37" t="s">
        <v>618</v>
      </c>
      <c r="B37" t="s">
        <v>14</v>
      </c>
      <c r="C37">
        <v>793579748984</v>
      </c>
      <c r="D37" t="s">
        <v>74</v>
      </c>
      <c r="E37">
        <v>2</v>
      </c>
      <c r="F37">
        <v>28.42</v>
      </c>
      <c r="G37">
        <v>0</v>
      </c>
      <c r="H37">
        <v>0</v>
      </c>
      <c r="I37">
        <v>0</v>
      </c>
      <c r="J37">
        <v>28.42</v>
      </c>
      <c r="K37">
        <v>2.88</v>
      </c>
      <c r="L37">
        <v>31.3</v>
      </c>
      <c r="M37">
        <v>2</v>
      </c>
    </row>
    <row r="38" spans="1:13" hidden="1" x14ac:dyDescent="0.2">
      <c r="A38" t="s">
        <v>984</v>
      </c>
      <c r="B38" t="s">
        <v>14</v>
      </c>
      <c r="C38">
        <v>9354396000115</v>
      </c>
      <c r="D38" t="s">
        <v>74</v>
      </c>
      <c r="E38">
        <v>1</v>
      </c>
      <c r="F38">
        <v>11.81</v>
      </c>
      <c r="G38">
        <v>0</v>
      </c>
      <c r="H38">
        <v>0</v>
      </c>
      <c r="I38">
        <v>0</v>
      </c>
      <c r="J38">
        <v>11.81</v>
      </c>
      <c r="K38">
        <v>1.19</v>
      </c>
      <c r="L38">
        <v>13</v>
      </c>
      <c r="M38">
        <v>1</v>
      </c>
    </row>
    <row r="39" spans="1:13" hidden="1" x14ac:dyDescent="0.2">
      <c r="A39" t="s">
        <v>767</v>
      </c>
      <c r="B39" t="s">
        <v>14</v>
      </c>
      <c r="C39">
        <v>9354396000108</v>
      </c>
      <c r="D39" t="s">
        <v>74</v>
      </c>
      <c r="E39">
        <v>1</v>
      </c>
      <c r="F39">
        <v>11.8</v>
      </c>
      <c r="G39">
        <v>0</v>
      </c>
      <c r="H39">
        <v>0</v>
      </c>
      <c r="I39">
        <v>0</v>
      </c>
      <c r="J39">
        <v>11.8</v>
      </c>
      <c r="K39">
        <v>1.2</v>
      </c>
      <c r="L39">
        <v>13</v>
      </c>
      <c r="M39">
        <v>1</v>
      </c>
    </row>
    <row r="40" spans="1:13" hidden="1" x14ac:dyDescent="0.2">
      <c r="A40" t="s">
        <v>766</v>
      </c>
      <c r="B40" t="s">
        <v>14</v>
      </c>
      <c r="C40">
        <v>9354396000016</v>
      </c>
      <c r="D40" t="s">
        <v>74</v>
      </c>
      <c r="E40">
        <v>1</v>
      </c>
      <c r="F40">
        <v>8.81</v>
      </c>
      <c r="G40">
        <v>0</v>
      </c>
      <c r="H40">
        <v>0</v>
      </c>
      <c r="I40">
        <v>0</v>
      </c>
      <c r="J40">
        <v>8.81</v>
      </c>
      <c r="K40">
        <v>0.89</v>
      </c>
      <c r="L40">
        <v>9.6999999999999993</v>
      </c>
      <c r="M40">
        <v>1</v>
      </c>
    </row>
    <row r="41" spans="1:13" hidden="1" x14ac:dyDescent="0.2">
      <c r="A41" t="s">
        <v>293</v>
      </c>
      <c r="B41" t="s">
        <v>14</v>
      </c>
      <c r="C41">
        <v>9421903370648</v>
      </c>
      <c r="D41" t="s">
        <v>74</v>
      </c>
      <c r="E41">
        <v>2</v>
      </c>
      <c r="F41">
        <v>18.34</v>
      </c>
      <c r="G41">
        <v>0</v>
      </c>
      <c r="H41">
        <v>0</v>
      </c>
      <c r="I41">
        <v>0</v>
      </c>
      <c r="J41">
        <v>18.34</v>
      </c>
      <c r="K41">
        <v>1.86</v>
      </c>
      <c r="L41">
        <v>20.2</v>
      </c>
      <c r="M41">
        <v>2</v>
      </c>
    </row>
    <row r="42" spans="1:13" hidden="1" x14ac:dyDescent="0.2">
      <c r="A42" t="s">
        <v>983</v>
      </c>
      <c r="B42" t="s">
        <v>14</v>
      </c>
      <c r="C42">
        <v>9421903370655</v>
      </c>
      <c r="D42" t="s">
        <v>74</v>
      </c>
      <c r="E42">
        <v>1</v>
      </c>
      <c r="F42">
        <v>9.17</v>
      </c>
      <c r="G42">
        <v>0</v>
      </c>
      <c r="H42">
        <v>0</v>
      </c>
      <c r="I42">
        <v>0</v>
      </c>
      <c r="J42">
        <v>9.17</v>
      </c>
      <c r="K42">
        <v>0.93</v>
      </c>
      <c r="L42">
        <v>10.1</v>
      </c>
      <c r="M42">
        <v>1</v>
      </c>
    </row>
    <row r="43" spans="1:13" hidden="1" x14ac:dyDescent="0.2">
      <c r="A43" t="s">
        <v>331</v>
      </c>
      <c r="B43" t="s">
        <v>14</v>
      </c>
      <c r="C43">
        <v>9421903370631</v>
      </c>
      <c r="D43" t="s">
        <v>74</v>
      </c>
      <c r="E43">
        <v>2</v>
      </c>
      <c r="F43">
        <v>18.53</v>
      </c>
      <c r="G43">
        <v>0</v>
      </c>
      <c r="H43">
        <v>0</v>
      </c>
      <c r="I43">
        <v>-2.02</v>
      </c>
      <c r="J43">
        <v>16.510000000000002</v>
      </c>
      <c r="K43">
        <v>1.67</v>
      </c>
      <c r="L43">
        <v>18.18</v>
      </c>
      <c r="M43">
        <v>2</v>
      </c>
    </row>
    <row r="44" spans="1:13" hidden="1" x14ac:dyDescent="0.2">
      <c r="A44" t="s">
        <v>330</v>
      </c>
      <c r="B44" t="s">
        <v>14</v>
      </c>
      <c r="C44">
        <v>9354396000092</v>
      </c>
      <c r="D44" t="s">
        <v>74</v>
      </c>
      <c r="E44">
        <v>8</v>
      </c>
      <c r="F44">
        <v>16.72</v>
      </c>
      <c r="G44">
        <v>0</v>
      </c>
      <c r="H44">
        <v>0</v>
      </c>
      <c r="I44">
        <v>0</v>
      </c>
      <c r="J44">
        <v>16.72</v>
      </c>
      <c r="K44">
        <v>1.68</v>
      </c>
      <c r="L44">
        <v>18.399999999999999</v>
      </c>
      <c r="M44">
        <v>8</v>
      </c>
    </row>
    <row r="45" spans="1:13" hidden="1" x14ac:dyDescent="0.2">
      <c r="A45" t="s">
        <v>77</v>
      </c>
      <c r="B45" t="s">
        <v>14</v>
      </c>
      <c r="C45">
        <v>680569565006</v>
      </c>
      <c r="D45" t="s">
        <v>74</v>
      </c>
      <c r="E45">
        <v>4</v>
      </c>
      <c r="F45">
        <v>6.9</v>
      </c>
      <c r="G45">
        <v>0</v>
      </c>
      <c r="H45">
        <v>0</v>
      </c>
      <c r="I45">
        <v>0</v>
      </c>
      <c r="J45">
        <v>6.9</v>
      </c>
      <c r="K45">
        <v>0.7</v>
      </c>
      <c r="L45">
        <v>7.6</v>
      </c>
      <c r="M45">
        <v>4</v>
      </c>
    </row>
    <row r="46" spans="1:13" hidden="1" x14ac:dyDescent="0.2">
      <c r="A46" t="s">
        <v>76</v>
      </c>
      <c r="B46" t="s">
        <v>14</v>
      </c>
      <c r="C46">
        <v>680569529442</v>
      </c>
      <c r="D46" t="s">
        <v>74</v>
      </c>
      <c r="E46">
        <v>2</v>
      </c>
      <c r="F46">
        <v>3.46</v>
      </c>
      <c r="G46">
        <v>0</v>
      </c>
      <c r="H46">
        <v>0</v>
      </c>
      <c r="I46">
        <v>0</v>
      </c>
      <c r="J46">
        <v>3.46</v>
      </c>
      <c r="K46">
        <v>0.34</v>
      </c>
      <c r="L46">
        <v>3.8</v>
      </c>
      <c r="M46">
        <v>2</v>
      </c>
    </row>
    <row r="47" spans="1:13" hidden="1" x14ac:dyDescent="0.2">
      <c r="A47" t="s">
        <v>982</v>
      </c>
      <c r="B47" t="s">
        <v>14</v>
      </c>
      <c r="C47">
        <v>9345911000284</v>
      </c>
      <c r="D47" t="s">
        <v>74</v>
      </c>
      <c r="E47">
        <v>2</v>
      </c>
      <c r="F47">
        <v>16.12</v>
      </c>
      <c r="G47">
        <v>0</v>
      </c>
      <c r="H47">
        <v>0</v>
      </c>
      <c r="I47">
        <v>-0.5</v>
      </c>
      <c r="J47">
        <v>15.62</v>
      </c>
      <c r="K47">
        <v>1.58</v>
      </c>
      <c r="L47">
        <v>17.2</v>
      </c>
      <c r="M47">
        <v>2</v>
      </c>
    </row>
    <row r="48" spans="1:13" hidden="1" x14ac:dyDescent="0.2">
      <c r="A48" t="s">
        <v>75</v>
      </c>
      <c r="B48" t="s">
        <v>14</v>
      </c>
      <c r="C48">
        <v>9345911000680</v>
      </c>
      <c r="D48" t="s">
        <v>74</v>
      </c>
      <c r="E48">
        <v>3</v>
      </c>
      <c r="F48">
        <v>24.12</v>
      </c>
      <c r="G48">
        <v>0</v>
      </c>
      <c r="H48">
        <v>0</v>
      </c>
      <c r="I48">
        <v>0</v>
      </c>
      <c r="J48">
        <v>24.12</v>
      </c>
      <c r="K48">
        <v>2.4300000000000002</v>
      </c>
      <c r="L48">
        <v>26.55</v>
      </c>
      <c r="M48">
        <v>3</v>
      </c>
    </row>
    <row r="49" spans="1:13" hidden="1" x14ac:dyDescent="0.2">
      <c r="A49" t="s">
        <v>765</v>
      </c>
      <c r="B49" t="s">
        <v>14</v>
      </c>
      <c r="C49">
        <v>9345911000475</v>
      </c>
      <c r="D49" t="s">
        <v>74</v>
      </c>
      <c r="E49">
        <v>5</v>
      </c>
      <c r="F49">
        <v>40.26</v>
      </c>
      <c r="G49">
        <v>0</v>
      </c>
      <c r="H49">
        <v>0</v>
      </c>
      <c r="I49">
        <v>-0.8</v>
      </c>
      <c r="J49">
        <v>39.46</v>
      </c>
      <c r="K49">
        <v>3.99</v>
      </c>
      <c r="L49">
        <v>43.45</v>
      </c>
      <c r="M49">
        <v>5</v>
      </c>
    </row>
    <row r="50" spans="1:13" hidden="1" x14ac:dyDescent="0.2">
      <c r="A50" t="s">
        <v>764</v>
      </c>
      <c r="B50" t="s">
        <v>14</v>
      </c>
      <c r="C50">
        <v>9345911000277</v>
      </c>
      <c r="D50" t="s">
        <v>74</v>
      </c>
      <c r="E50">
        <v>1</v>
      </c>
      <c r="F50">
        <v>8.0299999999999994</v>
      </c>
      <c r="G50">
        <v>0</v>
      </c>
      <c r="H50">
        <v>0</v>
      </c>
      <c r="I50">
        <v>0</v>
      </c>
      <c r="J50">
        <v>8.0299999999999994</v>
      </c>
      <c r="K50">
        <v>0.82</v>
      </c>
      <c r="L50">
        <v>8.85</v>
      </c>
      <c r="M50">
        <v>1</v>
      </c>
    </row>
    <row r="51" spans="1:13" hidden="1" x14ac:dyDescent="0.2">
      <c r="A51" t="s">
        <v>981</v>
      </c>
      <c r="B51" t="s">
        <v>14</v>
      </c>
      <c r="C51">
        <v>9345911000574</v>
      </c>
      <c r="D51" t="s">
        <v>74</v>
      </c>
      <c r="E51">
        <v>3</v>
      </c>
      <c r="F51">
        <v>24.14</v>
      </c>
      <c r="G51">
        <v>0</v>
      </c>
      <c r="H51">
        <v>0</v>
      </c>
      <c r="I51">
        <v>0</v>
      </c>
      <c r="J51">
        <v>24.14</v>
      </c>
      <c r="K51">
        <v>2.41</v>
      </c>
      <c r="L51">
        <v>26.55</v>
      </c>
      <c r="M51">
        <v>3</v>
      </c>
    </row>
    <row r="52" spans="1:13" hidden="1" x14ac:dyDescent="0.2">
      <c r="A52" t="s">
        <v>980</v>
      </c>
      <c r="B52" t="s">
        <v>14</v>
      </c>
      <c r="C52">
        <v>9345911000314</v>
      </c>
      <c r="D52" t="s">
        <v>74</v>
      </c>
      <c r="E52">
        <v>1</v>
      </c>
      <c r="F52">
        <v>8.0399999999999991</v>
      </c>
      <c r="G52">
        <v>0</v>
      </c>
      <c r="H52">
        <v>0</v>
      </c>
      <c r="I52">
        <v>0</v>
      </c>
      <c r="J52">
        <v>8.0399999999999991</v>
      </c>
      <c r="K52">
        <v>0.81</v>
      </c>
      <c r="L52">
        <v>8.85</v>
      </c>
      <c r="M52">
        <v>1</v>
      </c>
    </row>
    <row r="53" spans="1:13" hidden="1" x14ac:dyDescent="0.2">
      <c r="A53" t="s">
        <v>763</v>
      </c>
      <c r="B53" t="s">
        <v>14</v>
      </c>
      <c r="C53">
        <v>9345911000024</v>
      </c>
      <c r="D53" t="s">
        <v>74</v>
      </c>
      <c r="E53">
        <v>2</v>
      </c>
      <c r="F53">
        <v>16.079999999999998</v>
      </c>
      <c r="G53">
        <v>0</v>
      </c>
      <c r="H53">
        <v>0</v>
      </c>
      <c r="I53">
        <v>0</v>
      </c>
      <c r="J53">
        <v>16.079999999999998</v>
      </c>
      <c r="K53">
        <v>1.62</v>
      </c>
      <c r="L53">
        <v>17.7</v>
      </c>
      <c r="M53">
        <v>2</v>
      </c>
    </row>
  </sheetData>
  <pageMargins left="0.7" right="0.7" top="0.75" bottom="0.75" header="0.3" footer="0.3"/>
  <pageSetup paperSize="9" orientation="portrait" horizontalDpi="0" verticalDpi="0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6D3E2D-4693-3E48-BB46-BF7BA01880B4}">
  <dimension ref="A1:M36"/>
  <sheetViews>
    <sheetView workbookViewId="0">
      <selection activeCell="A3" sqref="A3:M36"/>
    </sheetView>
  </sheetViews>
  <sheetFormatPr baseColWidth="10" defaultRowHeight="16" x14ac:dyDescent="0.2"/>
  <cols>
    <col min="1" max="1" width="46" bestFit="1" customWidth="1"/>
    <col min="2" max="2" width="15.33203125" bestFit="1" customWidth="1"/>
    <col min="3" max="3" width="12.1640625" bestFit="1" customWidth="1"/>
    <col min="4" max="4" width="18.6640625" bestFit="1" customWidth="1"/>
    <col min="5" max="5" width="12.33203125" bestFit="1" customWidth="1"/>
    <col min="6" max="6" width="15" bestFit="1" customWidth="1"/>
    <col min="7" max="7" width="16.6640625" bestFit="1" customWidth="1"/>
    <col min="8" max="8" width="11" bestFit="1" customWidth="1"/>
    <col min="9" max="9" width="20.1640625" bestFit="1" customWidth="1"/>
    <col min="10" max="10" width="11.5" bestFit="1" customWidth="1"/>
    <col min="11" max="11" width="11" bestFit="1" customWidth="1"/>
    <col min="12" max="12" width="13.5" bestFit="1" customWidth="1"/>
    <col min="13" max="13" width="11.83203125" bestFit="1" customWidth="1"/>
  </cols>
  <sheetData>
    <row r="1" spans="1:13" x14ac:dyDescent="0.2">
      <c r="A1" s="4" t="s">
        <v>1361</v>
      </c>
    </row>
    <row r="3" spans="1:13" x14ac:dyDescent="0.2">
      <c r="A3" t="s">
        <v>0</v>
      </c>
      <c r="B3" t="s">
        <v>1</v>
      </c>
      <c r="C3" t="s">
        <v>2</v>
      </c>
      <c r="D3" t="s">
        <v>3</v>
      </c>
      <c r="E3" t="s">
        <v>4</v>
      </c>
      <c r="F3" t="s">
        <v>5</v>
      </c>
      <c r="G3" t="s">
        <v>6</v>
      </c>
      <c r="H3" t="s">
        <v>7</v>
      </c>
      <c r="I3" t="s">
        <v>8</v>
      </c>
      <c r="J3" t="s">
        <v>9</v>
      </c>
      <c r="K3" t="s">
        <v>10</v>
      </c>
      <c r="L3" t="s">
        <v>11</v>
      </c>
      <c r="M3" t="s">
        <v>12</v>
      </c>
    </row>
    <row r="4" spans="1:13" x14ac:dyDescent="0.2">
      <c r="A4" t="s">
        <v>692</v>
      </c>
      <c r="B4" t="s">
        <v>14</v>
      </c>
      <c r="C4">
        <v>787099254841</v>
      </c>
      <c r="D4" t="s">
        <v>149</v>
      </c>
      <c r="E4">
        <v>4</v>
      </c>
      <c r="F4">
        <v>28.95</v>
      </c>
      <c r="G4">
        <v>0</v>
      </c>
      <c r="H4">
        <v>0</v>
      </c>
      <c r="I4">
        <v>-0.75</v>
      </c>
      <c r="J4">
        <v>28.2</v>
      </c>
      <c r="K4">
        <v>2.85</v>
      </c>
      <c r="L4">
        <v>31.05</v>
      </c>
      <c r="M4">
        <v>4</v>
      </c>
    </row>
    <row r="5" spans="1:13" x14ac:dyDescent="0.2">
      <c r="A5" t="s">
        <v>691</v>
      </c>
      <c r="B5" t="s">
        <v>14</v>
      </c>
      <c r="C5">
        <v>787099254889</v>
      </c>
      <c r="D5" t="s">
        <v>149</v>
      </c>
      <c r="E5">
        <v>1</v>
      </c>
      <c r="F5">
        <v>7.22</v>
      </c>
      <c r="G5">
        <v>0</v>
      </c>
      <c r="H5">
        <v>0</v>
      </c>
      <c r="I5">
        <v>0</v>
      </c>
      <c r="J5">
        <v>7.22</v>
      </c>
      <c r="K5">
        <v>0.73</v>
      </c>
      <c r="L5">
        <v>7.95</v>
      </c>
      <c r="M5">
        <v>1</v>
      </c>
    </row>
    <row r="6" spans="1:13" x14ac:dyDescent="0.2">
      <c r="A6" t="s">
        <v>861</v>
      </c>
      <c r="B6" t="s">
        <v>14</v>
      </c>
      <c r="C6">
        <v>632556826218</v>
      </c>
      <c r="D6" t="s">
        <v>149</v>
      </c>
      <c r="E6">
        <v>1</v>
      </c>
      <c r="F6">
        <v>17.78</v>
      </c>
      <c r="G6">
        <v>0</v>
      </c>
      <c r="H6">
        <v>0</v>
      </c>
      <c r="I6">
        <v>-1.22</v>
      </c>
      <c r="J6">
        <v>16.559999999999999</v>
      </c>
      <c r="K6">
        <v>1.67</v>
      </c>
      <c r="L6">
        <v>18.23</v>
      </c>
      <c r="M6">
        <v>1</v>
      </c>
    </row>
    <row r="7" spans="1:13" x14ac:dyDescent="0.2">
      <c r="A7" t="s">
        <v>1155</v>
      </c>
      <c r="B7" t="s">
        <v>14</v>
      </c>
      <c r="C7">
        <v>632556826195</v>
      </c>
      <c r="D7" t="s">
        <v>149</v>
      </c>
      <c r="E7">
        <v>2</v>
      </c>
      <c r="F7">
        <v>35.32</v>
      </c>
      <c r="G7">
        <v>0</v>
      </c>
      <c r="H7">
        <v>0</v>
      </c>
      <c r="I7">
        <v>0</v>
      </c>
      <c r="J7">
        <v>35.32</v>
      </c>
      <c r="K7">
        <v>3.58</v>
      </c>
      <c r="L7">
        <v>38.9</v>
      </c>
      <c r="M7">
        <v>2</v>
      </c>
    </row>
    <row r="8" spans="1:13" x14ac:dyDescent="0.2">
      <c r="A8" t="s">
        <v>1154</v>
      </c>
      <c r="B8" t="s">
        <v>14</v>
      </c>
      <c r="C8">
        <v>632556826188</v>
      </c>
      <c r="D8" t="s">
        <v>149</v>
      </c>
      <c r="E8">
        <v>5</v>
      </c>
      <c r="F8">
        <v>88.3</v>
      </c>
      <c r="G8">
        <v>0</v>
      </c>
      <c r="H8">
        <v>0</v>
      </c>
      <c r="I8">
        <v>0</v>
      </c>
      <c r="J8">
        <v>88.3</v>
      </c>
      <c r="K8">
        <v>8.9499999999999993</v>
      </c>
      <c r="L8">
        <v>97.25</v>
      </c>
      <c r="M8">
        <v>5</v>
      </c>
    </row>
    <row r="9" spans="1:13" x14ac:dyDescent="0.2">
      <c r="A9" t="s">
        <v>690</v>
      </c>
      <c r="B9" t="s">
        <v>14</v>
      </c>
      <c r="C9">
        <v>787099254926</v>
      </c>
      <c r="D9" t="s">
        <v>149</v>
      </c>
      <c r="E9">
        <v>6</v>
      </c>
      <c r="F9">
        <v>43.39</v>
      </c>
      <c r="G9">
        <v>0</v>
      </c>
      <c r="H9">
        <v>0</v>
      </c>
      <c r="I9">
        <v>-0.75</v>
      </c>
      <c r="J9">
        <v>42.64</v>
      </c>
      <c r="K9">
        <v>4.3099999999999996</v>
      </c>
      <c r="L9">
        <v>46.95</v>
      </c>
      <c r="M9">
        <v>6</v>
      </c>
    </row>
    <row r="10" spans="1:13" x14ac:dyDescent="0.2">
      <c r="A10" t="s">
        <v>689</v>
      </c>
      <c r="B10" t="s">
        <v>14</v>
      </c>
      <c r="C10">
        <v>787099254933</v>
      </c>
      <c r="D10" t="s">
        <v>149</v>
      </c>
      <c r="E10">
        <v>2</v>
      </c>
      <c r="F10">
        <v>14.44</v>
      </c>
      <c r="G10">
        <v>0</v>
      </c>
      <c r="H10">
        <v>0</v>
      </c>
      <c r="I10">
        <v>0</v>
      </c>
      <c r="J10">
        <v>14.44</v>
      </c>
      <c r="K10">
        <v>1.46</v>
      </c>
      <c r="L10">
        <v>15.9</v>
      </c>
      <c r="M10">
        <v>2</v>
      </c>
    </row>
    <row r="11" spans="1:13" x14ac:dyDescent="0.2">
      <c r="A11" t="s">
        <v>570</v>
      </c>
      <c r="B11" t="s">
        <v>14</v>
      </c>
      <c r="C11">
        <v>787099254858</v>
      </c>
      <c r="D11" t="s">
        <v>149</v>
      </c>
      <c r="E11">
        <v>1</v>
      </c>
      <c r="F11">
        <v>7.22</v>
      </c>
      <c r="G11">
        <v>0</v>
      </c>
      <c r="H11">
        <v>0</v>
      </c>
      <c r="I11">
        <v>0</v>
      </c>
      <c r="J11">
        <v>7.22</v>
      </c>
      <c r="K11">
        <v>0.73</v>
      </c>
      <c r="L11">
        <v>7.95</v>
      </c>
      <c r="M11">
        <v>1</v>
      </c>
    </row>
    <row r="12" spans="1:13" x14ac:dyDescent="0.2">
      <c r="A12" t="s">
        <v>860</v>
      </c>
      <c r="B12" t="s">
        <v>14</v>
      </c>
      <c r="C12">
        <v>769807749122</v>
      </c>
      <c r="D12" t="s">
        <v>149</v>
      </c>
      <c r="E12">
        <v>1</v>
      </c>
      <c r="F12">
        <v>7.22</v>
      </c>
      <c r="G12">
        <v>0</v>
      </c>
      <c r="H12">
        <v>0</v>
      </c>
      <c r="I12">
        <v>0</v>
      </c>
      <c r="J12">
        <v>7.22</v>
      </c>
      <c r="K12">
        <v>0.73</v>
      </c>
      <c r="L12">
        <v>7.95</v>
      </c>
      <c r="M12">
        <v>1</v>
      </c>
    </row>
    <row r="13" spans="1:13" x14ac:dyDescent="0.2">
      <c r="A13" t="s">
        <v>429</v>
      </c>
      <c r="B13" t="s">
        <v>14</v>
      </c>
      <c r="C13">
        <v>9421037690186</v>
      </c>
      <c r="D13" t="s">
        <v>149</v>
      </c>
      <c r="E13">
        <v>4</v>
      </c>
      <c r="F13">
        <v>23.6</v>
      </c>
      <c r="G13">
        <v>0</v>
      </c>
      <c r="H13">
        <v>0</v>
      </c>
      <c r="I13">
        <v>0</v>
      </c>
      <c r="J13">
        <v>23.6</v>
      </c>
      <c r="K13">
        <v>2.4</v>
      </c>
      <c r="L13">
        <v>26</v>
      </c>
      <c r="M13">
        <v>4</v>
      </c>
    </row>
    <row r="14" spans="1:13" x14ac:dyDescent="0.2">
      <c r="A14" t="s">
        <v>320</v>
      </c>
      <c r="B14" t="s">
        <v>14</v>
      </c>
      <c r="C14">
        <v>9421037690162</v>
      </c>
      <c r="D14" t="s">
        <v>149</v>
      </c>
      <c r="E14">
        <v>1</v>
      </c>
      <c r="F14">
        <v>5.33</v>
      </c>
      <c r="G14">
        <v>0</v>
      </c>
      <c r="H14">
        <v>0</v>
      </c>
      <c r="I14">
        <v>-1.1499999999999999</v>
      </c>
      <c r="J14">
        <v>4.18</v>
      </c>
      <c r="K14">
        <v>0.42</v>
      </c>
      <c r="L14">
        <v>4.5999999999999996</v>
      </c>
      <c r="M14">
        <v>1</v>
      </c>
    </row>
    <row r="15" spans="1:13" x14ac:dyDescent="0.2">
      <c r="A15" t="s">
        <v>859</v>
      </c>
      <c r="B15" t="s">
        <v>14</v>
      </c>
      <c r="C15">
        <v>9328808004053</v>
      </c>
      <c r="D15" t="s">
        <v>149</v>
      </c>
      <c r="E15">
        <v>1</v>
      </c>
      <c r="F15">
        <v>5.67</v>
      </c>
      <c r="G15">
        <v>0</v>
      </c>
      <c r="H15">
        <v>0</v>
      </c>
      <c r="I15">
        <v>0</v>
      </c>
      <c r="J15">
        <v>5.67</v>
      </c>
      <c r="K15">
        <v>0.57999999999999996</v>
      </c>
      <c r="L15">
        <v>6.25</v>
      </c>
      <c r="M15">
        <v>1</v>
      </c>
    </row>
    <row r="16" spans="1:13" x14ac:dyDescent="0.2">
      <c r="A16" t="s">
        <v>858</v>
      </c>
      <c r="B16" t="s">
        <v>14</v>
      </c>
      <c r="C16">
        <v>9328808004275</v>
      </c>
      <c r="D16" t="s">
        <v>149</v>
      </c>
      <c r="E16">
        <v>2</v>
      </c>
      <c r="F16">
        <v>11.36</v>
      </c>
      <c r="G16">
        <v>0</v>
      </c>
      <c r="H16">
        <v>0</v>
      </c>
      <c r="I16">
        <v>0</v>
      </c>
      <c r="J16">
        <v>11.36</v>
      </c>
      <c r="K16">
        <v>1.1399999999999999</v>
      </c>
      <c r="L16">
        <v>12.5</v>
      </c>
      <c r="M16">
        <v>2</v>
      </c>
    </row>
    <row r="17" spans="1:13" x14ac:dyDescent="0.2">
      <c r="A17" t="s">
        <v>1153</v>
      </c>
      <c r="B17" t="s">
        <v>14</v>
      </c>
      <c r="C17">
        <v>9328808004091</v>
      </c>
      <c r="D17" t="s">
        <v>149</v>
      </c>
      <c r="E17">
        <v>2</v>
      </c>
      <c r="F17">
        <v>29.42</v>
      </c>
      <c r="G17">
        <v>0</v>
      </c>
      <c r="H17">
        <v>0</v>
      </c>
      <c r="I17">
        <v>0</v>
      </c>
      <c r="J17">
        <v>29.42</v>
      </c>
      <c r="K17">
        <v>2.98</v>
      </c>
      <c r="L17">
        <v>32.4</v>
      </c>
      <c r="M17">
        <v>2</v>
      </c>
    </row>
    <row r="18" spans="1:13" x14ac:dyDescent="0.2">
      <c r="A18" t="s">
        <v>857</v>
      </c>
      <c r="B18" t="s">
        <v>14</v>
      </c>
      <c r="C18">
        <v>9328808004084</v>
      </c>
      <c r="D18" t="s">
        <v>149</v>
      </c>
      <c r="E18">
        <v>1</v>
      </c>
      <c r="F18">
        <v>5.68</v>
      </c>
      <c r="G18">
        <v>0</v>
      </c>
      <c r="H18">
        <v>0</v>
      </c>
      <c r="I18">
        <v>0</v>
      </c>
      <c r="J18">
        <v>5.68</v>
      </c>
      <c r="K18">
        <v>0.56999999999999995</v>
      </c>
      <c r="L18">
        <v>6.25</v>
      </c>
      <c r="M18">
        <v>1</v>
      </c>
    </row>
    <row r="19" spans="1:13" x14ac:dyDescent="0.2">
      <c r="A19" t="s">
        <v>151</v>
      </c>
      <c r="B19" t="s">
        <v>14</v>
      </c>
      <c r="C19">
        <v>9351412000067</v>
      </c>
      <c r="D19" t="s">
        <v>149</v>
      </c>
      <c r="E19">
        <v>5</v>
      </c>
      <c r="F19">
        <v>20.45</v>
      </c>
      <c r="G19">
        <v>0</v>
      </c>
      <c r="H19">
        <v>0</v>
      </c>
      <c r="I19">
        <v>0</v>
      </c>
      <c r="J19">
        <v>20.45</v>
      </c>
      <c r="K19">
        <v>2.0499999999999998</v>
      </c>
      <c r="L19">
        <v>22.5</v>
      </c>
      <c r="M19">
        <v>5</v>
      </c>
    </row>
    <row r="20" spans="1:13" x14ac:dyDescent="0.2">
      <c r="A20" t="s">
        <v>150</v>
      </c>
      <c r="B20" t="s">
        <v>14</v>
      </c>
      <c r="C20">
        <v>9351412000043</v>
      </c>
      <c r="D20" t="s">
        <v>149</v>
      </c>
      <c r="E20">
        <v>3</v>
      </c>
      <c r="F20">
        <v>12.26</v>
      </c>
      <c r="G20">
        <v>0</v>
      </c>
      <c r="H20">
        <v>0</v>
      </c>
      <c r="I20">
        <v>0</v>
      </c>
      <c r="J20">
        <v>12.26</v>
      </c>
      <c r="K20">
        <v>1.24</v>
      </c>
      <c r="L20">
        <v>13.5</v>
      </c>
      <c r="M20">
        <v>3</v>
      </c>
    </row>
    <row r="21" spans="1:13" x14ac:dyDescent="0.2">
      <c r="A21" t="s">
        <v>487</v>
      </c>
      <c r="B21" t="s">
        <v>14</v>
      </c>
      <c r="C21">
        <v>9351412000081</v>
      </c>
      <c r="D21" t="s">
        <v>149</v>
      </c>
      <c r="E21">
        <v>2</v>
      </c>
      <c r="F21">
        <v>8.18</v>
      </c>
      <c r="G21">
        <v>0</v>
      </c>
      <c r="H21">
        <v>0</v>
      </c>
      <c r="I21">
        <v>0</v>
      </c>
      <c r="J21">
        <v>8.18</v>
      </c>
      <c r="K21">
        <v>0.82</v>
      </c>
      <c r="L21">
        <v>9</v>
      </c>
      <c r="M21">
        <v>2</v>
      </c>
    </row>
    <row r="22" spans="1:13" x14ac:dyDescent="0.2">
      <c r="A22" t="s">
        <v>688</v>
      </c>
      <c r="B22" t="s">
        <v>14</v>
      </c>
      <c r="C22">
        <v>9351412000029</v>
      </c>
      <c r="D22" t="s">
        <v>149</v>
      </c>
      <c r="E22">
        <v>2</v>
      </c>
      <c r="F22">
        <v>8.17</v>
      </c>
      <c r="G22">
        <v>0</v>
      </c>
      <c r="H22">
        <v>0</v>
      </c>
      <c r="I22">
        <v>0</v>
      </c>
      <c r="J22">
        <v>8.17</v>
      </c>
      <c r="K22">
        <v>0.83</v>
      </c>
      <c r="L22">
        <v>9</v>
      </c>
      <c r="M22">
        <v>2</v>
      </c>
    </row>
    <row r="23" spans="1:13" x14ac:dyDescent="0.2">
      <c r="A23" t="s">
        <v>486</v>
      </c>
      <c r="B23" t="s">
        <v>14</v>
      </c>
      <c r="C23">
        <v>9351412000098</v>
      </c>
      <c r="D23" t="s">
        <v>149</v>
      </c>
      <c r="E23">
        <v>2</v>
      </c>
      <c r="F23">
        <v>8.26</v>
      </c>
      <c r="G23">
        <v>0</v>
      </c>
      <c r="H23">
        <v>0</v>
      </c>
      <c r="I23">
        <v>-0.9</v>
      </c>
      <c r="J23">
        <v>7.36</v>
      </c>
      <c r="K23">
        <v>0.74</v>
      </c>
      <c r="L23">
        <v>8.1</v>
      </c>
      <c r="M23">
        <v>2</v>
      </c>
    </row>
    <row r="24" spans="1:13" x14ac:dyDescent="0.2">
      <c r="A24" t="s">
        <v>381</v>
      </c>
      <c r="B24" t="s">
        <v>14</v>
      </c>
      <c r="C24">
        <v>9351412000005</v>
      </c>
      <c r="D24" t="s">
        <v>149</v>
      </c>
      <c r="E24">
        <v>1</v>
      </c>
      <c r="F24">
        <v>4.09</v>
      </c>
      <c r="G24">
        <v>0</v>
      </c>
      <c r="H24">
        <v>0</v>
      </c>
      <c r="I24">
        <v>0</v>
      </c>
      <c r="J24">
        <v>4.09</v>
      </c>
      <c r="K24">
        <v>0.41</v>
      </c>
      <c r="L24">
        <v>4.5</v>
      </c>
      <c r="M24">
        <v>1</v>
      </c>
    </row>
    <row r="25" spans="1:13" x14ac:dyDescent="0.2">
      <c r="A25" t="s">
        <v>687</v>
      </c>
      <c r="B25" t="s">
        <v>14</v>
      </c>
      <c r="C25">
        <v>9351412000104</v>
      </c>
      <c r="D25" t="s">
        <v>149</v>
      </c>
      <c r="E25">
        <v>6</v>
      </c>
      <c r="F25">
        <v>24.52</v>
      </c>
      <c r="G25">
        <v>0</v>
      </c>
      <c r="H25">
        <v>0</v>
      </c>
      <c r="I25">
        <v>0</v>
      </c>
      <c r="J25">
        <v>24.52</v>
      </c>
      <c r="K25">
        <v>2.48</v>
      </c>
      <c r="L25">
        <v>27</v>
      </c>
      <c r="M25">
        <v>6</v>
      </c>
    </row>
    <row r="26" spans="1:13" x14ac:dyDescent="0.2">
      <c r="A26" t="s">
        <v>856</v>
      </c>
      <c r="B26" t="s">
        <v>14</v>
      </c>
      <c r="C26">
        <v>8437020396011</v>
      </c>
      <c r="D26" t="s">
        <v>149</v>
      </c>
      <c r="E26">
        <v>2</v>
      </c>
      <c r="F26">
        <v>23.52</v>
      </c>
      <c r="G26">
        <v>0</v>
      </c>
      <c r="H26">
        <v>0</v>
      </c>
      <c r="I26">
        <v>0</v>
      </c>
      <c r="J26">
        <v>23.52</v>
      </c>
      <c r="K26">
        <v>2.38</v>
      </c>
      <c r="L26">
        <v>25.9</v>
      </c>
      <c r="M26">
        <v>2</v>
      </c>
    </row>
    <row r="27" spans="1:13" x14ac:dyDescent="0.2">
      <c r="A27" t="s">
        <v>855</v>
      </c>
      <c r="B27" t="s">
        <v>14</v>
      </c>
      <c r="C27">
        <v>8437020396028</v>
      </c>
      <c r="D27" t="s">
        <v>149</v>
      </c>
      <c r="E27">
        <v>3</v>
      </c>
      <c r="F27">
        <v>35.28</v>
      </c>
      <c r="G27">
        <v>0</v>
      </c>
      <c r="H27">
        <v>0</v>
      </c>
      <c r="I27">
        <v>0</v>
      </c>
      <c r="J27">
        <v>35.28</v>
      </c>
      <c r="K27">
        <v>3.57</v>
      </c>
      <c r="L27">
        <v>38.85</v>
      </c>
      <c r="M27">
        <v>3</v>
      </c>
    </row>
    <row r="28" spans="1:13" x14ac:dyDescent="0.2">
      <c r="A28" t="s">
        <v>686</v>
      </c>
      <c r="B28" t="s">
        <v>14</v>
      </c>
      <c r="C28">
        <v>610395775812</v>
      </c>
      <c r="D28" t="s">
        <v>149</v>
      </c>
      <c r="E28">
        <v>3</v>
      </c>
      <c r="F28">
        <v>15.19</v>
      </c>
      <c r="G28">
        <v>0</v>
      </c>
      <c r="H28">
        <v>0</v>
      </c>
      <c r="I28">
        <v>-2.2000000000000002</v>
      </c>
      <c r="J28">
        <v>12.99</v>
      </c>
      <c r="K28">
        <v>1.31</v>
      </c>
      <c r="L28">
        <v>14.3</v>
      </c>
      <c r="M28">
        <v>3</v>
      </c>
    </row>
    <row r="29" spans="1:13" x14ac:dyDescent="0.2">
      <c r="A29" t="s">
        <v>1152</v>
      </c>
      <c r="B29" t="s">
        <v>14</v>
      </c>
      <c r="C29">
        <v>610395775843</v>
      </c>
      <c r="D29" t="s">
        <v>149</v>
      </c>
      <c r="E29">
        <v>4</v>
      </c>
      <c r="F29">
        <v>19.989999999999998</v>
      </c>
      <c r="G29">
        <v>0</v>
      </c>
      <c r="H29">
        <v>0</v>
      </c>
      <c r="I29">
        <v>0</v>
      </c>
      <c r="J29">
        <v>19.989999999999998</v>
      </c>
      <c r="K29">
        <v>2.0099999999999998</v>
      </c>
      <c r="L29">
        <v>22</v>
      </c>
      <c r="M29">
        <v>4</v>
      </c>
    </row>
    <row r="30" spans="1:13" x14ac:dyDescent="0.2">
      <c r="A30" t="s">
        <v>485</v>
      </c>
      <c r="B30" t="s">
        <v>14</v>
      </c>
      <c r="C30">
        <v>610395775805</v>
      </c>
      <c r="D30" t="s">
        <v>149</v>
      </c>
      <c r="E30">
        <v>2</v>
      </c>
      <c r="F30">
        <v>9.98</v>
      </c>
      <c r="G30">
        <v>0</v>
      </c>
      <c r="H30">
        <v>0</v>
      </c>
      <c r="I30">
        <v>0</v>
      </c>
      <c r="J30">
        <v>9.98</v>
      </c>
      <c r="K30">
        <v>1.02</v>
      </c>
      <c r="L30">
        <v>11</v>
      </c>
      <c r="M30">
        <v>2</v>
      </c>
    </row>
    <row r="31" spans="1:13" x14ac:dyDescent="0.2">
      <c r="A31" t="s">
        <v>569</v>
      </c>
      <c r="B31" t="s">
        <v>14</v>
      </c>
      <c r="C31">
        <v>610395775751</v>
      </c>
      <c r="D31" t="s">
        <v>149</v>
      </c>
      <c r="E31">
        <v>4</v>
      </c>
      <c r="F31">
        <v>19.989999999999998</v>
      </c>
      <c r="G31">
        <v>0</v>
      </c>
      <c r="H31">
        <v>0</v>
      </c>
      <c r="I31">
        <v>0</v>
      </c>
      <c r="J31">
        <v>19.989999999999998</v>
      </c>
      <c r="K31">
        <v>2.0099999999999998</v>
      </c>
      <c r="L31">
        <v>22</v>
      </c>
      <c r="M31">
        <v>4</v>
      </c>
    </row>
    <row r="32" spans="1:13" x14ac:dyDescent="0.2">
      <c r="A32" t="s">
        <v>1151</v>
      </c>
      <c r="B32" t="s">
        <v>14</v>
      </c>
      <c r="C32">
        <v>610395775744</v>
      </c>
      <c r="D32" t="s">
        <v>149</v>
      </c>
      <c r="E32">
        <v>2</v>
      </c>
      <c r="F32">
        <v>9.98</v>
      </c>
      <c r="G32">
        <v>0</v>
      </c>
      <c r="H32">
        <v>0</v>
      </c>
      <c r="I32">
        <v>0</v>
      </c>
      <c r="J32">
        <v>9.98</v>
      </c>
      <c r="K32">
        <v>1.02</v>
      </c>
      <c r="L32">
        <v>11</v>
      </c>
      <c r="M32">
        <v>2</v>
      </c>
    </row>
    <row r="33" spans="1:13" x14ac:dyDescent="0.2">
      <c r="A33" t="s">
        <v>1150</v>
      </c>
      <c r="B33" t="s">
        <v>14</v>
      </c>
      <c r="C33">
        <v>610395775775</v>
      </c>
      <c r="D33" t="s">
        <v>149</v>
      </c>
      <c r="E33">
        <v>2</v>
      </c>
      <c r="F33">
        <v>9.99</v>
      </c>
      <c r="G33">
        <v>0</v>
      </c>
      <c r="H33">
        <v>0</v>
      </c>
      <c r="I33">
        <v>0</v>
      </c>
      <c r="J33">
        <v>9.99</v>
      </c>
      <c r="K33">
        <v>1.01</v>
      </c>
      <c r="L33">
        <v>11</v>
      </c>
      <c r="M33">
        <v>2</v>
      </c>
    </row>
    <row r="34" spans="1:13" x14ac:dyDescent="0.2">
      <c r="A34" t="s">
        <v>484</v>
      </c>
      <c r="B34" t="s">
        <v>14</v>
      </c>
      <c r="C34">
        <v>610395775737</v>
      </c>
      <c r="D34" t="s">
        <v>149</v>
      </c>
      <c r="E34">
        <v>4</v>
      </c>
      <c r="F34">
        <v>19.96</v>
      </c>
      <c r="G34">
        <v>0</v>
      </c>
      <c r="H34">
        <v>0</v>
      </c>
      <c r="I34">
        <v>0</v>
      </c>
      <c r="J34">
        <v>19.96</v>
      </c>
      <c r="K34">
        <v>2.04</v>
      </c>
      <c r="L34">
        <v>22</v>
      </c>
      <c r="M34">
        <v>4</v>
      </c>
    </row>
    <row r="35" spans="1:13" x14ac:dyDescent="0.2">
      <c r="A35" t="s">
        <v>685</v>
      </c>
      <c r="B35" t="s">
        <v>14</v>
      </c>
      <c r="C35">
        <v>746160782119</v>
      </c>
      <c r="D35" t="s">
        <v>149</v>
      </c>
      <c r="E35">
        <v>1</v>
      </c>
      <c r="F35">
        <v>26.49</v>
      </c>
      <c r="G35">
        <v>0</v>
      </c>
      <c r="H35">
        <v>0</v>
      </c>
      <c r="I35">
        <v>-2.89</v>
      </c>
      <c r="J35">
        <v>23.6</v>
      </c>
      <c r="K35">
        <v>2.36</v>
      </c>
      <c r="L35">
        <v>25.96</v>
      </c>
      <c r="M35">
        <v>1</v>
      </c>
    </row>
    <row r="36" spans="1:13" x14ac:dyDescent="0.2">
      <c r="A36" t="s">
        <v>380</v>
      </c>
      <c r="B36" t="s">
        <v>14</v>
      </c>
      <c r="C36">
        <v>806809696679</v>
      </c>
      <c r="D36" t="s">
        <v>149</v>
      </c>
      <c r="E36">
        <v>23</v>
      </c>
      <c r="F36">
        <v>161.91999999999999</v>
      </c>
      <c r="G36">
        <v>0</v>
      </c>
      <c r="H36">
        <v>0</v>
      </c>
      <c r="I36">
        <v>0</v>
      </c>
      <c r="J36">
        <v>161.91999999999999</v>
      </c>
      <c r="K36">
        <v>16.329999999999998</v>
      </c>
      <c r="L36">
        <v>178.25</v>
      </c>
      <c r="M36">
        <v>23</v>
      </c>
    </row>
  </sheetData>
  <pageMargins left="0.7" right="0.7" top="0.75" bottom="0.75" header="0.3" footer="0.3"/>
  <pageSetup paperSize="9" orientation="portrait" horizontalDpi="0" verticalDpi="0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65949A-3FDA-DB45-90A6-7FB8F64B5BD0}">
  <dimension ref="A1:M71"/>
  <sheetViews>
    <sheetView workbookViewId="0">
      <selection activeCell="J48" sqref="J48:J51"/>
    </sheetView>
  </sheetViews>
  <sheetFormatPr baseColWidth="10" defaultRowHeight="16" x14ac:dyDescent="0.2"/>
  <cols>
    <col min="1" max="1" width="49.6640625" bestFit="1" customWidth="1"/>
    <col min="2" max="2" width="15.33203125" bestFit="1" customWidth="1"/>
    <col min="3" max="3" width="12.1640625" bestFit="1" customWidth="1"/>
    <col min="4" max="4" width="11.1640625" bestFit="1" customWidth="1"/>
    <col min="5" max="5" width="12.33203125" bestFit="1" customWidth="1"/>
    <col min="6" max="6" width="15" bestFit="1" customWidth="1"/>
    <col min="7" max="7" width="16.6640625" bestFit="1" customWidth="1"/>
    <col min="8" max="8" width="11" bestFit="1" customWidth="1"/>
    <col min="9" max="9" width="20.1640625" bestFit="1" customWidth="1"/>
    <col min="10" max="10" width="11.5" bestFit="1" customWidth="1"/>
    <col min="11" max="11" width="11" bestFit="1" customWidth="1"/>
    <col min="12" max="12" width="13.5" bestFit="1" customWidth="1"/>
    <col min="13" max="13" width="11.83203125" bestFit="1" customWidth="1"/>
  </cols>
  <sheetData>
    <row r="1" spans="1:13" x14ac:dyDescent="0.2">
      <c r="A1" s="4" t="s">
        <v>728</v>
      </c>
    </row>
    <row r="3" spans="1:13" x14ac:dyDescent="0.2">
      <c r="A3" t="s">
        <v>0</v>
      </c>
      <c r="B3" t="s">
        <v>1</v>
      </c>
      <c r="C3" t="s">
        <v>2</v>
      </c>
      <c r="D3" t="s">
        <v>3</v>
      </c>
      <c r="E3" t="s">
        <v>4</v>
      </c>
      <c r="F3" t="s">
        <v>5</v>
      </c>
      <c r="G3" t="s">
        <v>6</v>
      </c>
      <c r="H3" t="s">
        <v>7</v>
      </c>
      <c r="I3" t="s">
        <v>8</v>
      </c>
      <c r="J3" t="s">
        <v>9</v>
      </c>
      <c r="K3" t="s">
        <v>10</v>
      </c>
      <c r="L3" t="s">
        <v>11</v>
      </c>
      <c r="M3" t="s">
        <v>12</v>
      </c>
    </row>
    <row r="4" spans="1:13" hidden="1" x14ac:dyDescent="0.2">
      <c r="A4" t="s">
        <v>545</v>
      </c>
      <c r="B4" t="s">
        <v>14</v>
      </c>
      <c r="C4">
        <v>2099000</v>
      </c>
      <c r="D4" t="s">
        <v>101</v>
      </c>
      <c r="E4">
        <v>2</v>
      </c>
      <c r="F4">
        <v>12.04</v>
      </c>
      <c r="G4">
        <v>0</v>
      </c>
      <c r="H4">
        <v>0</v>
      </c>
      <c r="I4">
        <v>-2.6</v>
      </c>
      <c r="J4">
        <v>9.44</v>
      </c>
      <c r="K4">
        <v>0.96</v>
      </c>
      <c r="L4">
        <v>10.4</v>
      </c>
      <c r="M4">
        <v>2</v>
      </c>
    </row>
    <row r="5" spans="1:13" hidden="1" x14ac:dyDescent="0.2">
      <c r="A5" t="s">
        <v>544</v>
      </c>
      <c r="B5" t="s">
        <v>14</v>
      </c>
      <c r="C5">
        <v>9369900080750</v>
      </c>
      <c r="D5" t="s">
        <v>101</v>
      </c>
      <c r="E5">
        <v>4</v>
      </c>
      <c r="F5">
        <v>23.74</v>
      </c>
      <c r="G5">
        <v>0</v>
      </c>
      <c r="H5">
        <v>0</v>
      </c>
      <c r="I5">
        <v>-1.45</v>
      </c>
      <c r="J5">
        <v>22.29</v>
      </c>
      <c r="K5">
        <v>2.2599999999999998</v>
      </c>
      <c r="L5">
        <v>24.55</v>
      </c>
      <c r="M5">
        <v>4</v>
      </c>
    </row>
    <row r="6" spans="1:13" hidden="1" x14ac:dyDescent="0.2">
      <c r="A6" t="s">
        <v>285</v>
      </c>
      <c r="B6" t="s">
        <v>14</v>
      </c>
      <c r="C6">
        <v>9369998352142</v>
      </c>
      <c r="D6" t="s">
        <v>101</v>
      </c>
      <c r="E6">
        <v>1</v>
      </c>
      <c r="F6">
        <v>5.91</v>
      </c>
      <c r="G6">
        <v>0</v>
      </c>
      <c r="H6">
        <v>0</v>
      </c>
      <c r="I6">
        <v>0</v>
      </c>
      <c r="J6">
        <v>5.91</v>
      </c>
      <c r="K6">
        <v>0.59</v>
      </c>
      <c r="L6">
        <v>6.5</v>
      </c>
      <c r="M6">
        <v>1</v>
      </c>
    </row>
    <row r="7" spans="1:13" hidden="1" x14ac:dyDescent="0.2">
      <c r="A7" t="s">
        <v>812</v>
      </c>
      <c r="B7" t="s">
        <v>14</v>
      </c>
      <c r="C7">
        <v>9369998504893</v>
      </c>
      <c r="D7" t="s">
        <v>101</v>
      </c>
      <c r="E7">
        <v>3</v>
      </c>
      <c r="F7">
        <v>18.170000000000002</v>
      </c>
      <c r="G7">
        <v>0</v>
      </c>
      <c r="H7">
        <v>0</v>
      </c>
      <c r="I7">
        <v>-5</v>
      </c>
      <c r="J7">
        <v>13.17</v>
      </c>
      <c r="K7">
        <v>1.33</v>
      </c>
      <c r="L7">
        <v>14.5</v>
      </c>
      <c r="M7">
        <v>3</v>
      </c>
    </row>
    <row r="8" spans="1:13" hidden="1" x14ac:dyDescent="0.2">
      <c r="A8" t="s">
        <v>1064</v>
      </c>
      <c r="B8" t="s">
        <v>14</v>
      </c>
      <c r="C8">
        <v>140347082540</v>
      </c>
      <c r="D8" t="s">
        <v>101</v>
      </c>
      <c r="E8">
        <v>1</v>
      </c>
      <c r="F8">
        <v>7.36</v>
      </c>
      <c r="G8">
        <v>0</v>
      </c>
      <c r="H8">
        <v>0</v>
      </c>
      <c r="I8">
        <v>0</v>
      </c>
      <c r="J8">
        <v>7.36</v>
      </c>
      <c r="K8">
        <v>0.74</v>
      </c>
      <c r="L8">
        <v>8.1</v>
      </c>
      <c r="M8">
        <v>1</v>
      </c>
    </row>
    <row r="9" spans="1:13" hidden="1" x14ac:dyDescent="0.2">
      <c r="A9" t="s">
        <v>114</v>
      </c>
      <c r="B9" t="s">
        <v>14</v>
      </c>
      <c r="C9">
        <v>8851013764494</v>
      </c>
      <c r="D9" t="s">
        <v>101</v>
      </c>
      <c r="E9">
        <v>12</v>
      </c>
      <c r="F9">
        <v>67.8</v>
      </c>
      <c r="G9">
        <v>0</v>
      </c>
      <c r="H9">
        <v>0</v>
      </c>
      <c r="I9">
        <v>0</v>
      </c>
      <c r="J9">
        <v>67.8</v>
      </c>
      <c r="K9">
        <v>0</v>
      </c>
      <c r="L9">
        <v>67.8</v>
      </c>
      <c r="M9">
        <v>12</v>
      </c>
    </row>
    <row r="10" spans="1:13" hidden="1" x14ac:dyDescent="0.2">
      <c r="A10" t="s">
        <v>811</v>
      </c>
      <c r="B10" t="s">
        <v>14</v>
      </c>
      <c r="C10">
        <v>734027989221</v>
      </c>
      <c r="D10" t="s">
        <v>101</v>
      </c>
      <c r="E10">
        <v>5</v>
      </c>
      <c r="F10">
        <v>26.96</v>
      </c>
      <c r="G10">
        <v>0</v>
      </c>
      <c r="H10">
        <v>0</v>
      </c>
      <c r="I10">
        <v>-0.32</v>
      </c>
      <c r="J10">
        <v>26.64</v>
      </c>
      <c r="K10">
        <v>2.69</v>
      </c>
      <c r="L10">
        <v>29.33</v>
      </c>
      <c r="M10">
        <v>5</v>
      </c>
    </row>
    <row r="11" spans="1:13" hidden="1" x14ac:dyDescent="0.2">
      <c r="A11" t="s">
        <v>810</v>
      </c>
      <c r="B11" t="s">
        <v>14</v>
      </c>
      <c r="C11">
        <v>734027989214</v>
      </c>
      <c r="D11" t="s">
        <v>101</v>
      </c>
      <c r="E11">
        <v>6</v>
      </c>
      <c r="F11">
        <v>32.04</v>
      </c>
      <c r="G11">
        <v>0</v>
      </c>
      <c r="H11">
        <v>0</v>
      </c>
      <c r="I11">
        <v>0</v>
      </c>
      <c r="J11">
        <v>32.04</v>
      </c>
      <c r="K11">
        <v>3.26</v>
      </c>
      <c r="L11">
        <v>35.299999999999997</v>
      </c>
      <c r="M11">
        <v>6</v>
      </c>
    </row>
    <row r="12" spans="1:13" hidden="1" x14ac:dyDescent="0.2">
      <c r="A12" t="s">
        <v>1063</v>
      </c>
      <c r="B12" t="s">
        <v>14</v>
      </c>
      <c r="C12">
        <v>769807248250</v>
      </c>
      <c r="D12" t="s">
        <v>101</v>
      </c>
      <c r="E12">
        <v>1</v>
      </c>
      <c r="F12">
        <v>3.72</v>
      </c>
      <c r="G12">
        <v>-1</v>
      </c>
      <c r="H12">
        <v>-3.72</v>
      </c>
      <c r="I12">
        <v>0</v>
      </c>
      <c r="J12">
        <v>0</v>
      </c>
      <c r="K12">
        <v>0</v>
      </c>
      <c r="L12">
        <v>0</v>
      </c>
      <c r="M12">
        <v>1</v>
      </c>
    </row>
    <row r="13" spans="1:13" hidden="1" x14ac:dyDescent="0.2">
      <c r="A13" t="s">
        <v>468</v>
      </c>
      <c r="B13" t="s">
        <v>14</v>
      </c>
      <c r="C13">
        <v>9353626000260</v>
      </c>
      <c r="D13" t="s">
        <v>101</v>
      </c>
      <c r="E13">
        <v>6</v>
      </c>
      <c r="F13">
        <v>23.4</v>
      </c>
      <c r="G13">
        <v>0</v>
      </c>
      <c r="H13">
        <v>0</v>
      </c>
      <c r="I13">
        <v>0</v>
      </c>
      <c r="J13">
        <v>23.4</v>
      </c>
      <c r="K13">
        <v>0</v>
      </c>
      <c r="L13">
        <v>23.4</v>
      </c>
      <c r="M13">
        <v>6</v>
      </c>
    </row>
    <row r="14" spans="1:13" hidden="1" x14ac:dyDescent="0.2">
      <c r="A14" t="s">
        <v>466</v>
      </c>
      <c r="B14" t="s">
        <v>14</v>
      </c>
      <c r="C14">
        <v>9353626000215</v>
      </c>
      <c r="D14" t="s">
        <v>101</v>
      </c>
      <c r="E14">
        <v>6</v>
      </c>
      <c r="F14">
        <v>23.4</v>
      </c>
      <c r="G14">
        <v>0</v>
      </c>
      <c r="H14">
        <v>0</v>
      </c>
      <c r="I14">
        <v>0</v>
      </c>
      <c r="J14">
        <v>23.4</v>
      </c>
      <c r="K14">
        <v>0</v>
      </c>
      <c r="L14">
        <v>23.4</v>
      </c>
      <c r="M14">
        <v>6</v>
      </c>
    </row>
    <row r="15" spans="1:13" hidden="1" x14ac:dyDescent="0.2">
      <c r="A15" t="s">
        <v>465</v>
      </c>
      <c r="B15" t="s">
        <v>14</v>
      </c>
      <c r="C15">
        <v>9353626000192</v>
      </c>
      <c r="D15" t="s">
        <v>101</v>
      </c>
      <c r="E15">
        <v>5</v>
      </c>
      <c r="F15">
        <v>19.5</v>
      </c>
      <c r="G15">
        <v>0</v>
      </c>
      <c r="H15">
        <v>0</v>
      </c>
      <c r="I15">
        <v>0</v>
      </c>
      <c r="J15">
        <v>19.5</v>
      </c>
      <c r="K15">
        <v>0</v>
      </c>
      <c r="L15">
        <v>19.5</v>
      </c>
      <c r="M15">
        <v>5</v>
      </c>
    </row>
    <row r="16" spans="1:13" hidden="1" x14ac:dyDescent="0.2">
      <c r="A16" t="s">
        <v>464</v>
      </c>
      <c r="B16" t="s">
        <v>14</v>
      </c>
      <c r="C16">
        <v>9353626000178</v>
      </c>
      <c r="D16" t="s">
        <v>101</v>
      </c>
      <c r="E16">
        <v>4</v>
      </c>
      <c r="F16">
        <v>15.6</v>
      </c>
      <c r="G16">
        <v>0</v>
      </c>
      <c r="H16">
        <v>0</v>
      </c>
      <c r="I16">
        <v>0</v>
      </c>
      <c r="J16">
        <v>15.6</v>
      </c>
      <c r="K16">
        <v>0</v>
      </c>
      <c r="L16">
        <v>15.6</v>
      </c>
      <c r="M16">
        <v>4</v>
      </c>
    </row>
    <row r="17" spans="1:13" hidden="1" x14ac:dyDescent="0.2">
      <c r="A17" t="s">
        <v>463</v>
      </c>
      <c r="B17" t="s">
        <v>14</v>
      </c>
      <c r="C17">
        <v>9353626000130</v>
      </c>
      <c r="D17" t="s">
        <v>101</v>
      </c>
      <c r="E17">
        <v>11</v>
      </c>
      <c r="F17">
        <v>72.05</v>
      </c>
      <c r="G17">
        <v>0</v>
      </c>
      <c r="H17">
        <v>0</v>
      </c>
      <c r="I17">
        <v>0</v>
      </c>
      <c r="J17">
        <v>72.05</v>
      </c>
      <c r="K17">
        <v>0</v>
      </c>
      <c r="L17">
        <v>72.05</v>
      </c>
      <c r="M17">
        <v>11</v>
      </c>
    </row>
    <row r="18" spans="1:13" hidden="1" x14ac:dyDescent="0.2">
      <c r="A18" t="s">
        <v>661</v>
      </c>
      <c r="B18" t="s">
        <v>14</v>
      </c>
      <c r="C18">
        <v>9421901214203</v>
      </c>
      <c r="D18" t="s">
        <v>101</v>
      </c>
      <c r="E18">
        <v>3</v>
      </c>
      <c r="F18">
        <v>15.81</v>
      </c>
      <c r="G18">
        <v>0</v>
      </c>
      <c r="H18">
        <v>0</v>
      </c>
      <c r="I18">
        <v>0</v>
      </c>
      <c r="J18">
        <v>15.81</v>
      </c>
      <c r="K18">
        <v>1.59</v>
      </c>
      <c r="L18">
        <v>17.399999999999999</v>
      </c>
      <c r="M18">
        <v>3</v>
      </c>
    </row>
    <row r="19" spans="1:13" hidden="1" x14ac:dyDescent="0.2">
      <c r="A19" t="s">
        <v>372</v>
      </c>
      <c r="B19" t="s">
        <v>14</v>
      </c>
      <c r="C19">
        <v>9421901214210</v>
      </c>
      <c r="D19" t="s">
        <v>101</v>
      </c>
      <c r="E19">
        <v>5</v>
      </c>
      <c r="F19">
        <v>22.5</v>
      </c>
      <c r="G19">
        <v>0</v>
      </c>
      <c r="H19">
        <v>0</v>
      </c>
      <c r="I19">
        <v>0</v>
      </c>
      <c r="J19">
        <v>22.5</v>
      </c>
      <c r="K19">
        <v>2.25</v>
      </c>
      <c r="L19">
        <v>24.75</v>
      </c>
      <c r="M19">
        <v>5</v>
      </c>
    </row>
    <row r="20" spans="1:13" hidden="1" x14ac:dyDescent="0.2">
      <c r="A20" t="s">
        <v>809</v>
      </c>
      <c r="B20" t="s">
        <v>14</v>
      </c>
      <c r="C20">
        <v>9421901214326</v>
      </c>
      <c r="D20" t="s">
        <v>101</v>
      </c>
      <c r="E20">
        <v>7</v>
      </c>
      <c r="F20">
        <v>48.3</v>
      </c>
      <c r="G20">
        <v>0</v>
      </c>
      <c r="H20">
        <v>0</v>
      </c>
      <c r="I20">
        <v>-1.38</v>
      </c>
      <c r="J20">
        <v>46.92</v>
      </c>
      <c r="K20">
        <v>0</v>
      </c>
      <c r="L20">
        <v>46.92</v>
      </c>
      <c r="M20">
        <v>7</v>
      </c>
    </row>
    <row r="21" spans="1:13" hidden="1" x14ac:dyDescent="0.2">
      <c r="A21" t="s">
        <v>808</v>
      </c>
      <c r="B21" t="s">
        <v>14</v>
      </c>
      <c r="C21">
        <v>9421901214401</v>
      </c>
      <c r="D21" t="s">
        <v>101</v>
      </c>
      <c r="E21">
        <v>5</v>
      </c>
      <c r="F21">
        <v>34.5</v>
      </c>
      <c r="G21">
        <v>0</v>
      </c>
      <c r="H21">
        <v>0</v>
      </c>
      <c r="I21">
        <v>0</v>
      </c>
      <c r="J21">
        <v>34.5</v>
      </c>
      <c r="K21">
        <v>0</v>
      </c>
      <c r="L21">
        <v>34.5</v>
      </c>
      <c r="M21">
        <v>5</v>
      </c>
    </row>
    <row r="22" spans="1:13" hidden="1" x14ac:dyDescent="0.2">
      <c r="A22" t="s">
        <v>312</v>
      </c>
      <c r="B22" t="s">
        <v>14</v>
      </c>
      <c r="C22">
        <v>9421901214128</v>
      </c>
      <c r="D22" t="s">
        <v>101</v>
      </c>
      <c r="E22">
        <v>3</v>
      </c>
      <c r="F22">
        <v>17.399999999999999</v>
      </c>
      <c r="G22">
        <v>0</v>
      </c>
      <c r="H22">
        <v>0</v>
      </c>
      <c r="I22">
        <v>0</v>
      </c>
      <c r="J22">
        <v>17.399999999999999</v>
      </c>
      <c r="K22">
        <v>0</v>
      </c>
      <c r="L22">
        <v>17.399999999999999</v>
      </c>
      <c r="M22">
        <v>3</v>
      </c>
    </row>
    <row r="23" spans="1:13" hidden="1" x14ac:dyDescent="0.2">
      <c r="A23" t="s">
        <v>298</v>
      </c>
      <c r="B23" t="s">
        <v>14</v>
      </c>
      <c r="C23">
        <v>9421901214302</v>
      </c>
      <c r="D23" t="s">
        <v>101</v>
      </c>
      <c r="E23">
        <v>6</v>
      </c>
      <c r="F23">
        <v>41.4</v>
      </c>
      <c r="G23">
        <v>0</v>
      </c>
      <c r="H23">
        <v>0</v>
      </c>
      <c r="I23">
        <v>0</v>
      </c>
      <c r="J23">
        <v>41.4</v>
      </c>
      <c r="K23">
        <v>0</v>
      </c>
      <c r="L23">
        <v>41.4</v>
      </c>
      <c r="M23">
        <v>6</v>
      </c>
    </row>
    <row r="24" spans="1:13" hidden="1" x14ac:dyDescent="0.2">
      <c r="A24" t="s">
        <v>660</v>
      </c>
      <c r="B24" t="s">
        <v>14</v>
      </c>
      <c r="C24">
        <v>5060847270009</v>
      </c>
      <c r="D24" t="s">
        <v>101</v>
      </c>
      <c r="E24">
        <v>1</v>
      </c>
      <c r="F24">
        <v>12.92</v>
      </c>
      <c r="G24">
        <v>0</v>
      </c>
      <c r="H24">
        <v>0</v>
      </c>
      <c r="I24">
        <v>-2.7</v>
      </c>
      <c r="J24">
        <v>10.220000000000001</v>
      </c>
      <c r="K24">
        <v>1.03</v>
      </c>
      <c r="L24">
        <v>11.25</v>
      </c>
      <c r="M24">
        <v>1</v>
      </c>
    </row>
    <row r="25" spans="1:13" hidden="1" x14ac:dyDescent="0.2">
      <c r="A25" t="s">
        <v>807</v>
      </c>
      <c r="B25" t="s">
        <v>14</v>
      </c>
      <c r="C25">
        <v>9349622000281</v>
      </c>
      <c r="D25" t="s">
        <v>101</v>
      </c>
      <c r="E25">
        <v>4</v>
      </c>
      <c r="F25">
        <v>40.6</v>
      </c>
      <c r="G25">
        <v>0</v>
      </c>
      <c r="H25">
        <v>0</v>
      </c>
      <c r="I25">
        <v>-40.6</v>
      </c>
      <c r="J25">
        <v>0</v>
      </c>
      <c r="K25">
        <v>0</v>
      </c>
      <c r="L25">
        <v>0</v>
      </c>
      <c r="M25">
        <v>4</v>
      </c>
    </row>
    <row r="26" spans="1:13" hidden="1" x14ac:dyDescent="0.2">
      <c r="A26" t="s">
        <v>659</v>
      </c>
      <c r="B26" t="s">
        <v>14</v>
      </c>
      <c r="C26">
        <v>754523531380</v>
      </c>
      <c r="D26" t="s">
        <v>101</v>
      </c>
      <c r="E26">
        <v>2</v>
      </c>
      <c r="F26">
        <v>11.9</v>
      </c>
      <c r="G26">
        <v>0</v>
      </c>
      <c r="H26">
        <v>0</v>
      </c>
      <c r="I26">
        <v>0</v>
      </c>
      <c r="J26">
        <v>11.9</v>
      </c>
      <c r="K26">
        <v>0</v>
      </c>
      <c r="L26">
        <v>11.9</v>
      </c>
      <c r="M26">
        <v>2</v>
      </c>
    </row>
    <row r="27" spans="1:13" hidden="1" x14ac:dyDescent="0.2">
      <c r="A27" t="s">
        <v>657</v>
      </c>
      <c r="B27" t="s">
        <v>14</v>
      </c>
      <c r="C27">
        <v>725806350899</v>
      </c>
      <c r="D27" t="s">
        <v>101</v>
      </c>
      <c r="E27">
        <v>1</v>
      </c>
      <c r="F27">
        <v>6.02</v>
      </c>
      <c r="G27">
        <v>0</v>
      </c>
      <c r="H27">
        <v>0</v>
      </c>
      <c r="I27">
        <v>-1.3</v>
      </c>
      <c r="J27">
        <v>4.72</v>
      </c>
      <c r="K27">
        <v>0.48</v>
      </c>
      <c r="L27">
        <v>5.2</v>
      </c>
      <c r="M27">
        <v>1</v>
      </c>
    </row>
    <row r="28" spans="1:13" hidden="1" x14ac:dyDescent="0.2">
      <c r="A28" t="s">
        <v>1062</v>
      </c>
      <c r="B28" t="s">
        <v>14</v>
      </c>
      <c r="C28">
        <v>9369900016568</v>
      </c>
      <c r="D28" t="s">
        <v>101</v>
      </c>
      <c r="E28">
        <v>1</v>
      </c>
      <c r="F28">
        <v>40.799999999999997</v>
      </c>
      <c r="G28">
        <v>0</v>
      </c>
      <c r="H28">
        <v>0</v>
      </c>
      <c r="I28">
        <v>0</v>
      </c>
      <c r="J28">
        <v>40.799999999999997</v>
      </c>
      <c r="K28">
        <v>0</v>
      </c>
      <c r="L28">
        <v>40.799999999999997</v>
      </c>
      <c r="M28">
        <v>1</v>
      </c>
    </row>
    <row r="29" spans="1:13" hidden="1" x14ac:dyDescent="0.2">
      <c r="A29" t="s">
        <v>348</v>
      </c>
      <c r="B29" t="s">
        <v>14</v>
      </c>
      <c r="C29">
        <v>9359084000385</v>
      </c>
      <c r="D29" t="s">
        <v>101</v>
      </c>
      <c r="E29">
        <v>7</v>
      </c>
      <c r="F29">
        <v>28.62</v>
      </c>
      <c r="G29">
        <v>0</v>
      </c>
      <c r="H29">
        <v>0</v>
      </c>
      <c r="I29">
        <v>0</v>
      </c>
      <c r="J29">
        <v>28.62</v>
      </c>
      <c r="K29">
        <v>2.88</v>
      </c>
      <c r="L29">
        <v>31.5</v>
      </c>
      <c r="M29">
        <v>7</v>
      </c>
    </row>
    <row r="30" spans="1:13" hidden="1" x14ac:dyDescent="0.2">
      <c r="A30" t="s">
        <v>543</v>
      </c>
      <c r="B30" t="s">
        <v>14</v>
      </c>
      <c r="C30">
        <v>9359084000170</v>
      </c>
      <c r="D30" t="s">
        <v>101</v>
      </c>
      <c r="E30">
        <v>4</v>
      </c>
      <c r="F30">
        <v>14.88</v>
      </c>
      <c r="G30">
        <v>0</v>
      </c>
      <c r="H30">
        <v>0</v>
      </c>
      <c r="I30">
        <v>0</v>
      </c>
      <c r="J30">
        <v>14.88</v>
      </c>
      <c r="K30">
        <v>1.52</v>
      </c>
      <c r="L30">
        <v>16.399999999999999</v>
      </c>
      <c r="M30">
        <v>4</v>
      </c>
    </row>
    <row r="31" spans="1:13" hidden="1" x14ac:dyDescent="0.2">
      <c r="A31" t="s">
        <v>347</v>
      </c>
      <c r="B31" t="s">
        <v>14</v>
      </c>
      <c r="C31">
        <v>9359084000156</v>
      </c>
      <c r="D31" t="s">
        <v>101</v>
      </c>
      <c r="E31">
        <v>1</v>
      </c>
      <c r="F31">
        <v>3.72</v>
      </c>
      <c r="G31">
        <v>0</v>
      </c>
      <c r="H31">
        <v>0</v>
      </c>
      <c r="I31">
        <v>0</v>
      </c>
      <c r="J31">
        <v>3.72</v>
      </c>
      <c r="K31">
        <v>0.38</v>
      </c>
      <c r="L31">
        <v>4.0999999999999996</v>
      </c>
      <c r="M31">
        <v>1</v>
      </c>
    </row>
    <row r="32" spans="1:13" hidden="1" x14ac:dyDescent="0.2">
      <c r="A32" t="s">
        <v>462</v>
      </c>
      <c r="B32" t="s">
        <v>14</v>
      </c>
      <c r="C32">
        <v>9369998348640</v>
      </c>
      <c r="D32" t="s">
        <v>101</v>
      </c>
      <c r="E32">
        <v>5</v>
      </c>
      <c r="F32">
        <v>30.65</v>
      </c>
      <c r="G32">
        <v>0</v>
      </c>
      <c r="H32">
        <v>0</v>
      </c>
      <c r="I32">
        <v>0</v>
      </c>
      <c r="J32">
        <v>30.65</v>
      </c>
      <c r="K32">
        <v>3.1</v>
      </c>
      <c r="L32">
        <v>33.75</v>
      </c>
      <c r="M32">
        <v>5</v>
      </c>
    </row>
    <row r="33" spans="1:13" hidden="1" x14ac:dyDescent="0.2">
      <c r="A33" t="s">
        <v>542</v>
      </c>
      <c r="B33" t="s">
        <v>14</v>
      </c>
      <c r="C33">
        <v>9309001147037</v>
      </c>
      <c r="D33" t="s">
        <v>101</v>
      </c>
      <c r="E33">
        <v>4</v>
      </c>
      <c r="F33">
        <v>24.52</v>
      </c>
      <c r="G33">
        <v>0</v>
      </c>
      <c r="H33">
        <v>0</v>
      </c>
      <c r="I33">
        <v>0</v>
      </c>
      <c r="J33">
        <v>24.52</v>
      </c>
      <c r="K33">
        <v>2.48</v>
      </c>
      <c r="L33">
        <v>27</v>
      </c>
      <c r="M33">
        <v>4</v>
      </c>
    </row>
    <row r="34" spans="1:13" hidden="1" x14ac:dyDescent="0.2">
      <c r="A34" t="s">
        <v>541</v>
      </c>
      <c r="B34" t="s">
        <v>14</v>
      </c>
      <c r="C34">
        <v>9369998203819</v>
      </c>
      <c r="D34" t="s">
        <v>101</v>
      </c>
      <c r="E34">
        <v>7</v>
      </c>
      <c r="F34">
        <v>42.91</v>
      </c>
      <c r="G34">
        <v>0</v>
      </c>
      <c r="H34">
        <v>0</v>
      </c>
      <c r="I34">
        <v>0</v>
      </c>
      <c r="J34">
        <v>42.91</v>
      </c>
      <c r="K34">
        <v>4.34</v>
      </c>
      <c r="L34">
        <v>47.25</v>
      </c>
      <c r="M34">
        <v>7</v>
      </c>
    </row>
    <row r="35" spans="1:13" hidden="1" x14ac:dyDescent="0.2">
      <c r="A35" t="s">
        <v>540</v>
      </c>
      <c r="B35" t="s">
        <v>14</v>
      </c>
      <c r="C35">
        <v>9369998265565</v>
      </c>
      <c r="D35" t="s">
        <v>101</v>
      </c>
      <c r="E35">
        <v>5</v>
      </c>
      <c r="F35">
        <v>30.65</v>
      </c>
      <c r="G35">
        <v>0</v>
      </c>
      <c r="H35">
        <v>0</v>
      </c>
      <c r="I35">
        <v>0</v>
      </c>
      <c r="J35">
        <v>30.65</v>
      </c>
      <c r="K35">
        <v>3.1</v>
      </c>
      <c r="L35">
        <v>33.75</v>
      </c>
      <c r="M35">
        <v>5</v>
      </c>
    </row>
    <row r="36" spans="1:13" hidden="1" x14ac:dyDescent="0.2">
      <c r="A36" t="s">
        <v>655</v>
      </c>
      <c r="B36" t="s">
        <v>14</v>
      </c>
      <c r="C36">
        <v>9369999341770</v>
      </c>
      <c r="D36" t="s">
        <v>101</v>
      </c>
      <c r="E36">
        <v>7</v>
      </c>
      <c r="F36">
        <v>42</v>
      </c>
      <c r="G36">
        <v>0</v>
      </c>
      <c r="H36">
        <v>0</v>
      </c>
      <c r="I36">
        <v>-0.64</v>
      </c>
      <c r="J36">
        <v>41.36</v>
      </c>
      <c r="K36">
        <v>4.2</v>
      </c>
      <c r="L36">
        <v>45.56</v>
      </c>
      <c r="M36">
        <v>7</v>
      </c>
    </row>
    <row r="37" spans="1:13" hidden="1" x14ac:dyDescent="0.2">
      <c r="A37" t="s">
        <v>113</v>
      </c>
      <c r="B37" t="s">
        <v>14</v>
      </c>
      <c r="C37">
        <v>9359663000119</v>
      </c>
      <c r="D37" t="s">
        <v>101</v>
      </c>
      <c r="E37">
        <v>4</v>
      </c>
      <c r="F37">
        <v>23.8</v>
      </c>
      <c r="G37">
        <v>0</v>
      </c>
      <c r="H37">
        <v>0</v>
      </c>
      <c r="I37">
        <v>0</v>
      </c>
      <c r="J37">
        <v>23.8</v>
      </c>
      <c r="K37">
        <v>2.4</v>
      </c>
      <c r="L37">
        <v>26.2</v>
      </c>
      <c r="M37">
        <v>4</v>
      </c>
    </row>
    <row r="38" spans="1:13" hidden="1" x14ac:dyDescent="0.2">
      <c r="A38" t="s">
        <v>112</v>
      </c>
      <c r="B38" t="s">
        <v>14</v>
      </c>
      <c r="C38">
        <v>9359663000102</v>
      </c>
      <c r="D38" t="s">
        <v>101</v>
      </c>
      <c r="E38">
        <v>2</v>
      </c>
      <c r="F38">
        <v>11.9</v>
      </c>
      <c r="G38">
        <v>0</v>
      </c>
      <c r="H38">
        <v>0</v>
      </c>
      <c r="I38">
        <v>0</v>
      </c>
      <c r="J38">
        <v>11.9</v>
      </c>
      <c r="K38">
        <v>1.2</v>
      </c>
      <c r="L38">
        <v>13.1</v>
      </c>
      <c r="M38">
        <v>2</v>
      </c>
    </row>
    <row r="39" spans="1:13" hidden="1" x14ac:dyDescent="0.2">
      <c r="A39" t="s">
        <v>395</v>
      </c>
      <c r="B39" t="s">
        <v>14</v>
      </c>
      <c r="C39">
        <v>9356887072755</v>
      </c>
      <c r="D39" t="s">
        <v>101</v>
      </c>
      <c r="E39">
        <v>4</v>
      </c>
      <c r="F39">
        <v>33.96</v>
      </c>
      <c r="G39">
        <v>0</v>
      </c>
      <c r="H39">
        <v>0</v>
      </c>
      <c r="I39">
        <v>0</v>
      </c>
      <c r="J39">
        <v>33.96</v>
      </c>
      <c r="K39">
        <v>3.44</v>
      </c>
      <c r="L39">
        <v>37.4</v>
      </c>
      <c r="M39">
        <v>4</v>
      </c>
    </row>
    <row r="40" spans="1:13" hidden="1" x14ac:dyDescent="0.2">
      <c r="A40" t="s">
        <v>536</v>
      </c>
      <c r="B40" t="s">
        <v>14</v>
      </c>
      <c r="C40">
        <v>9356887095754</v>
      </c>
      <c r="D40" t="s">
        <v>101</v>
      </c>
      <c r="E40">
        <v>1</v>
      </c>
      <c r="F40">
        <v>8.49</v>
      </c>
      <c r="G40">
        <v>0</v>
      </c>
      <c r="H40">
        <v>0</v>
      </c>
      <c r="I40">
        <v>0</v>
      </c>
      <c r="J40">
        <v>8.49</v>
      </c>
      <c r="K40">
        <v>0.86</v>
      </c>
      <c r="L40">
        <v>9.35</v>
      </c>
      <c r="M40">
        <v>1</v>
      </c>
    </row>
    <row r="41" spans="1:13" hidden="1" x14ac:dyDescent="0.2">
      <c r="A41" t="s">
        <v>346</v>
      </c>
      <c r="B41" t="s">
        <v>14</v>
      </c>
      <c r="C41">
        <v>9356887048750</v>
      </c>
      <c r="D41" t="s">
        <v>101</v>
      </c>
      <c r="E41">
        <v>6</v>
      </c>
      <c r="F41">
        <v>50.94</v>
      </c>
      <c r="G41">
        <v>0</v>
      </c>
      <c r="H41">
        <v>0</v>
      </c>
      <c r="I41">
        <v>0</v>
      </c>
      <c r="J41">
        <v>50.94</v>
      </c>
      <c r="K41">
        <v>5.16</v>
      </c>
      <c r="L41">
        <v>56.1</v>
      </c>
      <c r="M41">
        <v>6</v>
      </c>
    </row>
    <row r="42" spans="1:13" hidden="1" x14ac:dyDescent="0.2">
      <c r="A42" t="s">
        <v>806</v>
      </c>
      <c r="B42" t="s">
        <v>14</v>
      </c>
      <c r="C42">
        <v>9421902090028</v>
      </c>
      <c r="D42" t="s">
        <v>101</v>
      </c>
      <c r="E42">
        <v>1</v>
      </c>
      <c r="F42">
        <v>5.09</v>
      </c>
      <c r="G42">
        <v>0</v>
      </c>
      <c r="H42">
        <v>0</v>
      </c>
      <c r="I42">
        <v>0</v>
      </c>
      <c r="J42">
        <v>5.09</v>
      </c>
      <c r="K42">
        <v>0.51</v>
      </c>
      <c r="L42">
        <v>5.6</v>
      </c>
      <c r="M42">
        <v>1</v>
      </c>
    </row>
    <row r="43" spans="1:13" hidden="1" x14ac:dyDescent="0.2">
      <c r="A43" t="s">
        <v>370</v>
      </c>
      <c r="B43" t="s">
        <v>14</v>
      </c>
      <c r="C43">
        <v>9351775001176</v>
      </c>
      <c r="D43" t="s">
        <v>101</v>
      </c>
      <c r="E43">
        <v>5</v>
      </c>
      <c r="F43">
        <v>29.75</v>
      </c>
      <c r="G43">
        <v>0</v>
      </c>
      <c r="H43">
        <v>0</v>
      </c>
      <c r="I43">
        <v>0</v>
      </c>
      <c r="J43">
        <v>29.75</v>
      </c>
      <c r="K43">
        <v>3</v>
      </c>
      <c r="L43">
        <v>32.75</v>
      </c>
      <c r="M43">
        <v>5</v>
      </c>
    </row>
    <row r="44" spans="1:13" hidden="1" x14ac:dyDescent="0.2">
      <c r="A44" t="s">
        <v>344</v>
      </c>
      <c r="B44" t="s">
        <v>14</v>
      </c>
      <c r="C44">
        <v>9351775001152</v>
      </c>
      <c r="D44" t="s">
        <v>101</v>
      </c>
      <c r="E44">
        <v>2</v>
      </c>
      <c r="F44">
        <v>12.29</v>
      </c>
      <c r="G44">
        <v>0</v>
      </c>
      <c r="H44">
        <v>0</v>
      </c>
      <c r="I44">
        <v>-4.26</v>
      </c>
      <c r="J44">
        <v>8.0299999999999994</v>
      </c>
      <c r="K44">
        <v>0.81</v>
      </c>
      <c r="L44">
        <v>8.84</v>
      </c>
      <c r="M44">
        <v>2</v>
      </c>
    </row>
    <row r="45" spans="1:13" hidden="1" x14ac:dyDescent="0.2">
      <c r="A45" t="s">
        <v>111</v>
      </c>
      <c r="B45" t="s">
        <v>14</v>
      </c>
      <c r="C45">
        <v>9309001347086</v>
      </c>
      <c r="D45" t="s">
        <v>101</v>
      </c>
      <c r="E45">
        <v>28</v>
      </c>
      <c r="F45">
        <v>139.86000000000001</v>
      </c>
      <c r="G45">
        <v>0</v>
      </c>
      <c r="H45">
        <v>0</v>
      </c>
      <c r="I45">
        <v>0</v>
      </c>
      <c r="J45">
        <v>139.86000000000001</v>
      </c>
      <c r="K45">
        <v>14.14</v>
      </c>
      <c r="L45">
        <v>154</v>
      </c>
      <c r="M45">
        <v>28</v>
      </c>
    </row>
    <row r="46" spans="1:13" hidden="1" x14ac:dyDescent="0.2">
      <c r="A46" t="s">
        <v>110</v>
      </c>
      <c r="B46" t="s">
        <v>14</v>
      </c>
      <c r="C46">
        <v>9309001347000</v>
      </c>
      <c r="D46" t="s">
        <v>101</v>
      </c>
      <c r="E46">
        <v>34</v>
      </c>
      <c r="F46">
        <v>170.28</v>
      </c>
      <c r="G46">
        <v>0</v>
      </c>
      <c r="H46">
        <v>0</v>
      </c>
      <c r="I46">
        <v>-5</v>
      </c>
      <c r="J46">
        <v>165.28</v>
      </c>
      <c r="K46">
        <v>16.72</v>
      </c>
      <c r="L46">
        <v>182</v>
      </c>
      <c r="M46">
        <v>34</v>
      </c>
    </row>
    <row r="47" spans="1:13" hidden="1" x14ac:dyDescent="0.2">
      <c r="A47" t="s">
        <v>106</v>
      </c>
      <c r="B47" t="s">
        <v>14</v>
      </c>
      <c r="C47">
        <v>9369998240739</v>
      </c>
      <c r="D47" t="s">
        <v>101</v>
      </c>
      <c r="E47">
        <v>53</v>
      </c>
      <c r="F47">
        <v>268.48</v>
      </c>
      <c r="G47">
        <v>0</v>
      </c>
      <c r="H47">
        <v>0</v>
      </c>
      <c r="I47">
        <v>-40.700000000000003</v>
      </c>
      <c r="J47">
        <v>227.78</v>
      </c>
      <c r="K47">
        <v>23.02</v>
      </c>
      <c r="L47">
        <v>250.8</v>
      </c>
      <c r="M47">
        <v>53</v>
      </c>
    </row>
    <row r="48" spans="1:13" x14ac:dyDescent="0.2">
      <c r="A48" t="s">
        <v>805</v>
      </c>
      <c r="B48" t="s">
        <v>14</v>
      </c>
      <c r="C48">
        <v>9369998238903</v>
      </c>
      <c r="D48" t="s">
        <v>101</v>
      </c>
      <c r="E48">
        <v>6</v>
      </c>
      <c r="F48">
        <v>36.65</v>
      </c>
      <c r="G48">
        <v>0</v>
      </c>
      <c r="H48">
        <v>0</v>
      </c>
      <c r="I48">
        <v>-1.61</v>
      </c>
      <c r="J48">
        <v>35.04</v>
      </c>
      <c r="K48">
        <v>3.55</v>
      </c>
      <c r="L48">
        <v>38.590000000000003</v>
      </c>
      <c r="M48">
        <v>6</v>
      </c>
    </row>
    <row r="49" spans="1:13" x14ac:dyDescent="0.2">
      <c r="A49" t="s">
        <v>535</v>
      </c>
      <c r="B49" t="s">
        <v>14</v>
      </c>
      <c r="C49">
        <v>9369998158102</v>
      </c>
      <c r="D49" t="s">
        <v>101</v>
      </c>
      <c r="E49">
        <v>2</v>
      </c>
      <c r="F49">
        <v>12.18</v>
      </c>
      <c r="G49">
        <v>0</v>
      </c>
      <c r="H49">
        <v>0</v>
      </c>
      <c r="I49">
        <v>0</v>
      </c>
      <c r="J49">
        <v>12.18</v>
      </c>
      <c r="K49">
        <v>1.22</v>
      </c>
      <c r="L49">
        <v>13.4</v>
      </c>
      <c r="M49">
        <v>2</v>
      </c>
    </row>
    <row r="50" spans="1:13" x14ac:dyDescent="0.2">
      <c r="A50" t="s">
        <v>534</v>
      </c>
      <c r="B50" t="s">
        <v>14</v>
      </c>
      <c r="C50">
        <v>9369998097111</v>
      </c>
      <c r="D50" t="s">
        <v>101</v>
      </c>
      <c r="E50">
        <v>2</v>
      </c>
      <c r="F50">
        <v>12.17</v>
      </c>
      <c r="G50">
        <v>0</v>
      </c>
      <c r="H50">
        <v>0</v>
      </c>
      <c r="I50">
        <v>0</v>
      </c>
      <c r="J50">
        <v>12.17</v>
      </c>
      <c r="K50">
        <v>1.23</v>
      </c>
      <c r="L50">
        <v>13.4</v>
      </c>
      <c r="M50">
        <v>2</v>
      </c>
    </row>
    <row r="51" spans="1:13" x14ac:dyDescent="0.2">
      <c r="A51" t="s">
        <v>533</v>
      </c>
      <c r="B51" t="s">
        <v>14</v>
      </c>
      <c r="C51">
        <v>9369998327379</v>
      </c>
      <c r="D51" t="s">
        <v>101</v>
      </c>
      <c r="E51">
        <v>4</v>
      </c>
      <c r="F51">
        <v>24.52</v>
      </c>
      <c r="G51">
        <v>0</v>
      </c>
      <c r="H51">
        <v>0</v>
      </c>
      <c r="I51">
        <v>-2.0099999999999998</v>
      </c>
      <c r="J51">
        <v>22.51</v>
      </c>
      <c r="K51">
        <v>2.2799999999999998</v>
      </c>
      <c r="L51">
        <v>24.79</v>
      </c>
      <c r="M51">
        <v>4</v>
      </c>
    </row>
    <row r="52" spans="1:13" hidden="1" x14ac:dyDescent="0.2">
      <c r="A52" t="s">
        <v>1061</v>
      </c>
      <c r="B52" t="s">
        <v>14</v>
      </c>
      <c r="C52">
        <v>9413000050547</v>
      </c>
      <c r="D52" t="s">
        <v>101</v>
      </c>
      <c r="E52">
        <v>1</v>
      </c>
      <c r="F52">
        <v>27</v>
      </c>
      <c r="G52">
        <v>0</v>
      </c>
      <c r="H52">
        <v>0</v>
      </c>
      <c r="I52">
        <v>0</v>
      </c>
      <c r="J52">
        <v>27</v>
      </c>
      <c r="K52">
        <v>0</v>
      </c>
      <c r="L52">
        <v>27</v>
      </c>
      <c r="M52">
        <v>1</v>
      </c>
    </row>
    <row r="53" spans="1:13" hidden="1" x14ac:dyDescent="0.2">
      <c r="A53" t="s">
        <v>532</v>
      </c>
      <c r="B53" t="s">
        <v>14</v>
      </c>
      <c r="C53">
        <v>9369900075930</v>
      </c>
      <c r="D53" t="s">
        <v>101</v>
      </c>
      <c r="E53">
        <v>3</v>
      </c>
      <c r="F53">
        <v>20.71</v>
      </c>
      <c r="G53">
        <v>0</v>
      </c>
      <c r="H53">
        <v>0</v>
      </c>
      <c r="I53">
        <v>-3</v>
      </c>
      <c r="J53">
        <v>17.71</v>
      </c>
      <c r="K53">
        <v>1.79</v>
      </c>
      <c r="L53">
        <v>19.5</v>
      </c>
      <c r="M53">
        <v>3</v>
      </c>
    </row>
    <row r="54" spans="1:13" hidden="1" x14ac:dyDescent="0.2">
      <c r="A54" t="s">
        <v>531</v>
      </c>
      <c r="B54" t="s">
        <v>14</v>
      </c>
      <c r="C54">
        <v>9309000071067</v>
      </c>
      <c r="D54" t="s">
        <v>101</v>
      </c>
      <c r="E54">
        <v>3</v>
      </c>
      <c r="F54">
        <v>17.03</v>
      </c>
      <c r="G54">
        <v>0</v>
      </c>
      <c r="H54">
        <v>0</v>
      </c>
      <c r="I54">
        <v>0</v>
      </c>
      <c r="J54">
        <v>17.03</v>
      </c>
      <c r="K54">
        <v>1.72</v>
      </c>
      <c r="L54">
        <v>18.75</v>
      </c>
      <c r="M54">
        <v>3</v>
      </c>
    </row>
    <row r="55" spans="1:13" hidden="1" x14ac:dyDescent="0.2">
      <c r="A55" t="s">
        <v>530</v>
      </c>
      <c r="B55" t="s">
        <v>14</v>
      </c>
      <c r="C55">
        <v>9421902964909</v>
      </c>
      <c r="D55" t="s">
        <v>101</v>
      </c>
      <c r="E55">
        <v>1</v>
      </c>
      <c r="F55">
        <v>8.76</v>
      </c>
      <c r="G55">
        <v>0</v>
      </c>
      <c r="H55">
        <v>0</v>
      </c>
      <c r="I55">
        <v>0</v>
      </c>
      <c r="J55">
        <v>8.76</v>
      </c>
      <c r="K55">
        <v>0.89</v>
      </c>
      <c r="L55">
        <v>9.65</v>
      </c>
      <c r="M55">
        <v>1</v>
      </c>
    </row>
    <row r="56" spans="1:13" hidden="1" x14ac:dyDescent="0.2">
      <c r="A56" t="s">
        <v>310</v>
      </c>
      <c r="B56" t="s">
        <v>14</v>
      </c>
      <c r="C56">
        <v>9312336048214</v>
      </c>
      <c r="D56" t="s">
        <v>101</v>
      </c>
      <c r="E56">
        <v>7</v>
      </c>
      <c r="F56">
        <v>29.25</v>
      </c>
      <c r="G56">
        <v>0</v>
      </c>
      <c r="H56">
        <v>0</v>
      </c>
      <c r="I56">
        <v>0</v>
      </c>
      <c r="J56">
        <v>29.25</v>
      </c>
      <c r="K56">
        <v>2.95</v>
      </c>
      <c r="L56">
        <v>32.200000000000003</v>
      </c>
      <c r="M56">
        <v>7</v>
      </c>
    </row>
    <row r="57" spans="1:13" hidden="1" x14ac:dyDescent="0.2">
      <c r="A57" t="s">
        <v>102</v>
      </c>
      <c r="B57" t="s">
        <v>14</v>
      </c>
      <c r="C57">
        <v>9312336048283</v>
      </c>
      <c r="D57" t="s">
        <v>101</v>
      </c>
      <c r="E57">
        <v>6</v>
      </c>
      <c r="F57">
        <v>25.08</v>
      </c>
      <c r="G57">
        <v>0</v>
      </c>
      <c r="H57">
        <v>0</v>
      </c>
      <c r="I57">
        <v>0</v>
      </c>
      <c r="J57">
        <v>25.08</v>
      </c>
      <c r="K57">
        <v>2.52</v>
      </c>
      <c r="L57">
        <v>27.6</v>
      </c>
      <c r="M57">
        <v>6</v>
      </c>
    </row>
    <row r="58" spans="1:13" hidden="1" x14ac:dyDescent="0.2">
      <c r="A58" t="s">
        <v>297</v>
      </c>
      <c r="B58" t="s">
        <v>14</v>
      </c>
      <c r="C58">
        <v>9312336048290</v>
      </c>
      <c r="D58" t="s">
        <v>101</v>
      </c>
      <c r="E58">
        <v>2</v>
      </c>
      <c r="F58">
        <v>8.35</v>
      </c>
      <c r="G58">
        <v>0</v>
      </c>
      <c r="H58">
        <v>0</v>
      </c>
      <c r="I58">
        <v>0</v>
      </c>
      <c r="J58">
        <v>8.35</v>
      </c>
      <c r="K58">
        <v>0.85</v>
      </c>
      <c r="L58">
        <v>9.1999999999999993</v>
      </c>
      <c r="M58">
        <v>2</v>
      </c>
    </row>
    <row r="59" spans="1:13" hidden="1" x14ac:dyDescent="0.2">
      <c r="A59" t="s">
        <v>296</v>
      </c>
      <c r="B59" t="s">
        <v>14</v>
      </c>
      <c r="C59">
        <v>9312336048221</v>
      </c>
      <c r="D59" t="s">
        <v>101</v>
      </c>
      <c r="E59">
        <v>8</v>
      </c>
      <c r="F59">
        <v>33.42</v>
      </c>
      <c r="G59">
        <v>0</v>
      </c>
      <c r="H59">
        <v>0</v>
      </c>
      <c r="I59">
        <v>0</v>
      </c>
      <c r="J59">
        <v>33.42</v>
      </c>
      <c r="K59">
        <v>3.38</v>
      </c>
      <c r="L59">
        <v>36.799999999999997</v>
      </c>
      <c r="M59">
        <v>8</v>
      </c>
    </row>
    <row r="60" spans="1:13" hidden="1" x14ac:dyDescent="0.2">
      <c r="A60" t="s">
        <v>804</v>
      </c>
      <c r="B60" t="s">
        <v>14</v>
      </c>
      <c r="C60">
        <v>9369998168101</v>
      </c>
      <c r="D60" t="s">
        <v>101</v>
      </c>
      <c r="E60">
        <v>1</v>
      </c>
      <c r="F60">
        <v>5</v>
      </c>
      <c r="G60">
        <v>0</v>
      </c>
      <c r="H60">
        <v>0</v>
      </c>
      <c r="I60">
        <v>0</v>
      </c>
      <c r="J60">
        <v>5</v>
      </c>
      <c r="K60">
        <v>0</v>
      </c>
      <c r="L60">
        <v>5</v>
      </c>
      <c r="M60">
        <v>1</v>
      </c>
    </row>
    <row r="61" spans="1:13" hidden="1" x14ac:dyDescent="0.2">
      <c r="A61" t="s">
        <v>803</v>
      </c>
      <c r="B61" t="s">
        <v>14</v>
      </c>
      <c r="C61">
        <v>9369998245338</v>
      </c>
      <c r="D61" t="s">
        <v>101</v>
      </c>
      <c r="E61">
        <v>2</v>
      </c>
      <c r="F61">
        <v>10</v>
      </c>
      <c r="G61">
        <v>0</v>
      </c>
      <c r="H61">
        <v>0</v>
      </c>
      <c r="I61">
        <v>0</v>
      </c>
      <c r="J61">
        <v>10</v>
      </c>
      <c r="K61">
        <v>0</v>
      </c>
      <c r="L61">
        <v>10</v>
      </c>
      <c r="M61">
        <v>2</v>
      </c>
    </row>
    <row r="62" spans="1:13" hidden="1" x14ac:dyDescent="0.2">
      <c r="A62" t="s">
        <v>343</v>
      </c>
      <c r="B62" t="s">
        <v>14</v>
      </c>
      <c r="C62">
        <v>9369900033589</v>
      </c>
      <c r="D62" t="s">
        <v>101</v>
      </c>
      <c r="E62">
        <v>2</v>
      </c>
      <c r="F62">
        <v>10</v>
      </c>
      <c r="G62">
        <v>0</v>
      </c>
      <c r="H62">
        <v>0</v>
      </c>
      <c r="I62">
        <v>0</v>
      </c>
      <c r="J62">
        <v>10</v>
      </c>
      <c r="K62">
        <v>0</v>
      </c>
      <c r="L62">
        <v>10</v>
      </c>
      <c r="M62">
        <v>2</v>
      </c>
    </row>
    <row r="63" spans="1:13" hidden="1" x14ac:dyDescent="0.2">
      <c r="A63" t="s">
        <v>527</v>
      </c>
      <c r="B63" t="s">
        <v>14</v>
      </c>
      <c r="C63">
        <v>9339496000005</v>
      </c>
      <c r="D63" t="s">
        <v>101</v>
      </c>
      <c r="E63">
        <v>2</v>
      </c>
      <c r="F63">
        <v>7.62</v>
      </c>
      <c r="G63">
        <v>0</v>
      </c>
      <c r="H63">
        <v>0</v>
      </c>
      <c r="I63">
        <v>0</v>
      </c>
      <c r="J63">
        <v>7.62</v>
      </c>
      <c r="K63">
        <v>0.78</v>
      </c>
      <c r="L63">
        <v>8.4</v>
      </c>
      <c r="M63">
        <v>2</v>
      </c>
    </row>
    <row r="64" spans="1:13" hidden="1" x14ac:dyDescent="0.2">
      <c r="A64" t="s">
        <v>342</v>
      </c>
      <c r="B64" t="s">
        <v>14</v>
      </c>
      <c r="C64">
        <v>9421017790127</v>
      </c>
      <c r="D64" t="s">
        <v>101</v>
      </c>
      <c r="E64">
        <v>4</v>
      </c>
      <c r="F64">
        <v>23.6</v>
      </c>
      <c r="G64">
        <v>0</v>
      </c>
      <c r="H64">
        <v>0</v>
      </c>
      <c r="I64">
        <v>-1.59</v>
      </c>
      <c r="J64">
        <v>22.01</v>
      </c>
      <c r="K64">
        <v>0</v>
      </c>
      <c r="L64">
        <v>22.01</v>
      </c>
      <c r="M64">
        <v>4</v>
      </c>
    </row>
    <row r="65" spans="1:13" hidden="1" x14ac:dyDescent="0.2">
      <c r="A65" t="s">
        <v>651</v>
      </c>
      <c r="B65" t="s">
        <v>14</v>
      </c>
      <c r="C65">
        <v>9421017790103</v>
      </c>
      <c r="D65" t="s">
        <v>101</v>
      </c>
      <c r="E65">
        <v>6</v>
      </c>
      <c r="F65">
        <v>35.409999999999997</v>
      </c>
      <c r="G65">
        <v>0</v>
      </c>
      <c r="H65">
        <v>0</v>
      </c>
      <c r="I65">
        <v>0</v>
      </c>
      <c r="J65">
        <v>35.409999999999997</v>
      </c>
      <c r="K65">
        <v>3.59</v>
      </c>
      <c r="L65">
        <v>39</v>
      </c>
      <c r="M65">
        <v>6</v>
      </c>
    </row>
    <row r="66" spans="1:13" hidden="1" x14ac:dyDescent="0.2">
      <c r="A66" t="s">
        <v>802</v>
      </c>
      <c r="B66" t="s">
        <v>14</v>
      </c>
      <c r="C66">
        <v>9421017790097</v>
      </c>
      <c r="D66" t="s">
        <v>101</v>
      </c>
      <c r="E66">
        <v>3</v>
      </c>
      <c r="F66">
        <v>25.74</v>
      </c>
      <c r="G66">
        <v>0</v>
      </c>
      <c r="H66">
        <v>0</v>
      </c>
      <c r="I66">
        <v>0</v>
      </c>
      <c r="J66">
        <v>25.74</v>
      </c>
      <c r="K66">
        <v>2.61</v>
      </c>
      <c r="L66">
        <v>28.35</v>
      </c>
      <c r="M66">
        <v>3</v>
      </c>
    </row>
    <row r="67" spans="1:13" hidden="1" x14ac:dyDescent="0.2">
      <c r="A67" t="s">
        <v>526</v>
      </c>
      <c r="B67" t="s">
        <v>14</v>
      </c>
      <c r="C67">
        <v>9300745900858</v>
      </c>
      <c r="D67" t="s">
        <v>101</v>
      </c>
      <c r="E67">
        <v>2</v>
      </c>
      <c r="F67">
        <v>49.58</v>
      </c>
      <c r="G67">
        <v>0</v>
      </c>
      <c r="H67">
        <v>0</v>
      </c>
      <c r="I67">
        <v>0</v>
      </c>
      <c r="J67">
        <v>49.58</v>
      </c>
      <c r="K67">
        <v>5.0199999999999996</v>
      </c>
      <c r="L67">
        <v>54.6</v>
      </c>
      <c r="M67">
        <v>2</v>
      </c>
    </row>
    <row r="68" spans="1:13" hidden="1" x14ac:dyDescent="0.2">
      <c r="A68" t="s">
        <v>393</v>
      </c>
      <c r="B68" t="s">
        <v>14</v>
      </c>
      <c r="C68">
        <v>9352271000366</v>
      </c>
      <c r="D68" t="s">
        <v>101</v>
      </c>
      <c r="E68">
        <v>8</v>
      </c>
      <c r="F68">
        <v>23.61</v>
      </c>
      <c r="G68">
        <v>0</v>
      </c>
      <c r="H68">
        <v>0</v>
      </c>
      <c r="I68">
        <v>0</v>
      </c>
      <c r="J68">
        <v>23.61</v>
      </c>
      <c r="K68">
        <v>2.39</v>
      </c>
      <c r="L68">
        <v>26</v>
      </c>
      <c r="M68">
        <v>8</v>
      </c>
    </row>
    <row r="69" spans="1:13" hidden="1" x14ac:dyDescent="0.2">
      <c r="A69" t="s">
        <v>392</v>
      </c>
      <c r="B69" t="s">
        <v>14</v>
      </c>
      <c r="C69">
        <v>9352271000380</v>
      </c>
      <c r="D69" t="s">
        <v>101</v>
      </c>
      <c r="E69">
        <v>16</v>
      </c>
      <c r="F69">
        <v>72.02</v>
      </c>
      <c r="G69">
        <v>0</v>
      </c>
      <c r="H69">
        <v>0</v>
      </c>
      <c r="I69">
        <v>-0.54</v>
      </c>
      <c r="J69">
        <v>71.48</v>
      </c>
      <c r="K69">
        <v>7.18</v>
      </c>
      <c r="L69">
        <v>78.66</v>
      </c>
      <c r="M69">
        <v>16</v>
      </c>
    </row>
    <row r="70" spans="1:13" hidden="1" x14ac:dyDescent="0.2">
      <c r="A70" t="s">
        <v>1060</v>
      </c>
      <c r="B70" t="s">
        <v>14</v>
      </c>
      <c r="C70">
        <v>9421902090028</v>
      </c>
      <c r="D70" t="s">
        <v>101</v>
      </c>
      <c r="E70">
        <v>2</v>
      </c>
      <c r="F70">
        <v>10.17</v>
      </c>
      <c r="G70">
        <v>0</v>
      </c>
      <c r="H70">
        <v>0</v>
      </c>
      <c r="I70">
        <v>0</v>
      </c>
      <c r="J70">
        <v>10.17</v>
      </c>
      <c r="K70">
        <v>1.03</v>
      </c>
      <c r="L70">
        <v>11.2</v>
      </c>
      <c r="M70">
        <v>2</v>
      </c>
    </row>
    <row r="71" spans="1:13" hidden="1" x14ac:dyDescent="0.2">
      <c r="A71" t="s">
        <v>1059</v>
      </c>
      <c r="B71" t="s">
        <v>14</v>
      </c>
      <c r="C71">
        <v>9421902964411</v>
      </c>
      <c r="D71" t="s">
        <v>101</v>
      </c>
      <c r="E71">
        <v>2</v>
      </c>
      <c r="F71">
        <v>18.16</v>
      </c>
      <c r="G71">
        <v>0</v>
      </c>
      <c r="H71">
        <v>0</v>
      </c>
      <c r="I71">
        <v>0</v>
      </c>
      <c r="J71">
        <v>18.16</v>
      </c>
      <c r="K71">
        <v>1.84</v>
      </c>
      <c r="L71">
        <v>20</v>
      </c>
      <c r="M71">
        <v>2</v>
      </c>
    </row>
  </sheetData>
  <pageMargins left="0.7" right="0.7" top="0.75" bottom="0.75" header="0.3" footer="0.3"/>
  <pageSetup paperSize="9" orientation="portrait" horizontalDpi="0" verticalDpi="0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A4DC24-807F-EC46-80D1-A167C6D16B7E}">
  <dimension ref="A1:M36"/>
  <sheetViews>
    <sheetView workbookViewId="0">
      <selection activeCell="J13" sqref="J13:J20"/>
    </sheetView>
  </sheetViews>
  <sheetFormatPr baseColWidth="10" defaultRowHeight="16" x14ac:dyDescent="0.2"/>
  <cols>
    <col min="1" max="1" width="46" bestFit="1" customWidth="1"/>
    <col min="2" max="2" width="15.33203125" bestFit="1" customWidth="1"/>
    <col min="3" max="3" width="12.1640625" bestFit="1" customWidth="1"/>
    <col min="4" max="4" width="13.33203125" bestFit="1" customWidth="1"/>
    <col min="5" max="5" width="12.33203125" bestFit="1" customWidth="1"/>
    <col min="6" max="6" width="15" bestFit="1" customWidth="1"/>
    <col min="7" max="7" width="16.6640625" bestFit="1" customWidth="1"/>
    <col min="8" max="8" width="11" bestFit="1" customWidth="1"/>
    <col min="9" max="9" width="20.1640625" bestFit="1" customWidth="1"/>
    <col min="10" max="10" width="11.5" bestFit="1" customWidth="1"/>
    <col min="11" max="11" width="11" bestFit="1" customWidth="1"/>
    <col min="12" max="12" width="13.5" bestFit="1" customWidth="1"/>
    <col min="13" max="13" width="11.83203125" bestFit="1" customWidth="1"/>
  </cols>
  <sheetData>
    <row r="1" spans="1:13" x14ac:dyDescent="0.2">
      <c r="A1" s="4" t="s">
        <v>729</v>
      </c>
    </row>
    <row r="3" spans="1:13" x14ac:dyDescent="0.2">
      <c r="A3" t="s">
        <v>0</v>
      </c>
      <c r="B3" t="s">
        <v>1</v>
      </c>
      <c r="C3" t="s">
        <v>2</v>
      </c>
      <c r="D3" t="s">
        <v>3</v>
      </c>
      <c r="E3" t="s">
        <v>4</v>
      </c>
      <c r="F3" t="s">
        <v>5</v>
      </c>
      <c r="G3" t="s">
        <v>6</v>
      </c>
      <c r="H3" t="s">
        <v>7</v>
      </c>
      <c r="I3" t="s">
        <v>8</v>
      </c>
      <c r="J3" t="s">
        <v>9</v>
      </c>
      <c r="K3" t="s">
        <v>10</v>
      </c>
      <c r="L3" t="s">
        <v>11</v>
      </c>
      <c r="M3" t="s">
        <v>12</v>
      </c>
    </row>
    <row r="4" spans="1:13" hidden="1" x14ac:dyDescent="0.2">
      <c r="A4" t="s">
        <v>305</v>
      </c>
      <c r="B4" t="s">
        <v>14</v>
      </c>
      <c r="C4">
        <v>9369999033712</v>
      </c>
      <c r="D4" t="s">
        <v>18</v>
      </c>
      <c r="E4">
        <v>2</v>
      </c>
      <c r="F4">
        <v>26.5</v>
      </c>
      <c r="G4">
        <v>0</v>
      </c>
      <c r="H4">
        <v>0</v>
      </c>
      <c r="I4">
        <v>-1.1599999999999999</v>
      </c>
      <c r="J4">
        <v>25.34</v>
      </c>
      <c r="K4">
        <v>0</v>
      </c>
      <c r="L4">
        <v>25.34</v>
      </c>
      <c r="M4">
        <v>2</v>
      </c>
    </row>
    <row r="5" spans="1:13" hidden="1" x14ac:dyDescent="0.2">
      <c r="A5" t="s">
        <v>601</v>
      </c>
      <c r="B5" t="s">
        <v>14</v>
      </c>
      <c r="C5">
        <v>9327546002154</v>
      </c>
      <c r="D5" t="s">
        <v>18</v>
      </c>
      <c r="E5">
        <v>1</v>
      </c>
      <c r="F5">
        <v>17.2</v>
      </c>
      <c r="G5">
        <v>0</v>
      </c>
      <c r="H5">
        <v>0</v>
      </c>
      <c r="I5">
        <v>0</v>
      </c>
      <c r="J5">
        <v>17.2</v>
      </c>
      <c r="K5">
        <v>0</v>
      </c>
      <c r="L5">
        <v>17.2</v>
      </c>
      <c r="M5">
        <v>1</v>
      </c>
    </row>
    <row r="6" spans="1:13" hidden="1" x14ac:dyDescent="0.2">
      <c r="A6" t="s">
        <v>600</v>
      </c>
      <c r="B6" t="s">
        <v>14</v>
      </c>
      <c r="C6">
        <v>850306006233</v>
      </c>
      <c r="D6" t="s">
        <v>18</v>
      </c>
      <c r="E6">
        <v>1</v>
      </c>
      <c r="F6">
        <v>20.7</v>
      </c>
      <c r="G6">
        <v>0</v>
      </c>
      <c r="H6">
        <v>0</v>
      </c>
      <c r="I6">
        <v>0</v>
      </c>
      <c r="J6">
        <v>20.7</v>
      </c>
      <c r="K6">
        <v>0</v>
      </c>
      <c r="L6">
        <v>20.7</v>
      </c>
      <c r="M6">
        <v>1</v>
      </c>
    </row>
    <row r="7" spans="1:13" hidden="1" x14ac:dyDescent="0.2">
      <c r="A7" t="s">
        <v>743</v>
      </c>
      <c r="B7" t="s">
        <v>14</v>
      </c>
      <c r="C7">
        <v>9369900041546</v>
      </c>
      <c r="D7" t="s">
        <v>18</v>
      </c>
      <c r="E7">
        <v>3</v>
      </c>
      <c r="F7">
        <v>34.200000000000003</v>
      </c>
      <c r="G7">
        <v>0</v>
      </c>
      <c r="H7">
        <v>0</v>
      </c>
      <c r="I7">
        <v>0</v>
      </c>
      <c r="J7">
        <v>34.200000000000003</v>
      </c>
      <c r="K7">
        <v>0</v>
      </c>
      <c r="L7">
        <v>34.200000000000003</v>
      </c>
      <c r="M7">
        <v>3</v>
      </c>
    </row>
    <row r="8" spans="1:13" hidden="1" x14ac:dyDescent="0.2">
      <c r="A8" t="s">
        <v>30</v>
      </c>
      <c r="B8" t="s">
        <v>14</v>
      </c>
      <c r="C8">
        <v>9369998409778</v>
      </c>
      <c r="D8" t="s">
        <v>18</v>
      </c>
      <c r="E8">
        <v>4</v>
      </c>
      <c r="F8">
        <v>96</v>
      </c>
      <c r="G8">
        <v>0</v>
      </c>
      <c r="H8">
        <v>0</v>
      </c>
      <c r="I8">
        <v>-0.57999999999999996</v>
      </c>
      <c r="J8">
        <v>95.42</v>
      </c>
      <c r="K8">
        <v>0</v>
      </c>
      <c r="L8">
        <v>95.42</v>
      </c>
      <c r="M8">
        <v>4</v>
      </c>
    </row>
    <row r="9" spans="1:13" hidden="1" x14ac:dyDescent="0.2">
      <c r="A9" t="s">
        <v>29</v>
      </c>
      <c r="B9" t="s">
        <v>14</v>
      </c>
      <c r="C9">
        <v>9369998125777</v>
      </c>
      <c r="D9" t="s">
        <v>18</v>
      </c>
      <c r="E9">
        <v>3</v>
      </c>
      <c r="F9">
        <v>72.599999999999994</v>
      </c>
      <c r="G9">
        <v>0</v>
      </c>
      <c r="H9">
        <v>0</v>
      </c>
      <c r="I9">
        <v>-0.59</v>
      </c>
      <c r="J9">
        <v>72.010000000000005</v>
      </c>
      <c r="K9">
        <v>0</v>
      </c>
      <c r="L9">
        <v>72.010000000000005</v>
      </c>
      <c r="M9">
        <v>3</v>
      </c>
    </row>
    <row r="10" spans="1:13" hidden="1" x14ac:dyDescent="0.2">
      <c r="A10" t="s">
        <v>948</v>
      </c>
      <c r="B10" t="s">
        <v>14</v>
      </c>
      <c r="C10">
        <v>9369998219827</v>
      </c>
      <c r="D10" t="s">
        <v>18</v>
      </c>
      <c r="E10">
        <v>3</v>
      </c>
      <c r="F10">
        <v>72</v>
      </c>
      <c r="G10">
        <v>0</v>
      </c>
      <c r="H10">
        <v>0</v>
      </c>
      <c r="I10">
        <v>-1.51</v>
      </c>
      <c r="J10">
        <v>70.489999999999995</v>
      </c>
      <c r="K10">
        <v>0</v>
      </c>
      <c r="L10">
        <v>70.489999999999995</v>
      </c>
      <c r="M10">
        <v>3</v>
      </c>
    </row>
    <row r="11" spans="1:13" hidden="1" x14ac:dyDescent="0.2">
      <c r="A11" t="s">
        <v>742</v>
      </c>
      <c r="B11" t="s">
        <v>14</v>
      </c>
      <c r="C11">
        <v>9369999111205</v>
      </c>
      <c r="D11" t="s">
        <v>18</v>
      </c>
      <c r="E11">
        <v>1</v>
      </c>
      <c r="F11">
        <v>12.7</v>
      </c>
      <c r="G11">
        <v>0</v>
      </c>
      <c r="H11">
        <v>0</v>
      </c>
      <c r="I11">
        <v>0</v>
      </c>
      <c r="J11">
        <v>12.7</v>
      </c>
      <c r="K11">
        <v>0</v>
      </c>
      <c r="L11">
        <v>12.7</v>
      </c>
      <c r="M11">
        <v>1</v>
      </c>
    </row>
    <row r="12" spans="1:13" hidden="1" x14ac:dyDescent="0.2">
      <c r="A12" t="s">
        <v>28</v>
      </c>
      <c r="B12" t="s">
        <v>14</v>
      </c>
      <c r="C12">
        <v>9369999349066</v>
      </c>
      <c r="D12" t="s">
        <v>18</v>
      </c>
      <c r="E12">
        <v>9</v>
      </c>
      <c r="F12">
        <v>105.3</v>
      </c>
      <c r="G12">
        <v>0</v>
      </c>
      <c r="H12">
        <v>0</v>
      </c>
      <c r="I12">
        <v>0</v>
      </c>
      <c r="J12">
        <v>105.3</v>
      </c>
      <c r="K12">
        <v>0</v>
      </c>
      <c r="L12">
        <v>105.3</v>
      </c>
      <c r="M12">
        <v>9</v>
      </c>
    </row>
    <row r="13" spans="1:13" x14ac:dyDescent="0.2">
      <c r="A13" t="s">
        <v>27</v>
      </c>
      <c r="B13" t="s">
        <v>14</v>
      </c>
      <c r="C13">
        <v>9325239000807</v>
      </c>
      <c r="D13" t="s">
        <v>18</v>
      </c>
      <c r="E13">
        <v>3</v>
      </c>
      <c r="F13">
        <v>33.6</v>
      </c>
      <c r="G13">
        <v>0</v>
      </c>
      <c r="H13">
        <v>0</v>
      </c>
      <c r="I13">
        <v>0</v>
      </c>
      <c r="J13">
        <v>33.6</v>
      </c>
      <c r="K13">
        <v>0</v>
      </c>
      <c r="L13">
        <v>33.6</v>
      </c>
      <c r="M13">
        <v>3</v>
      </c>
    </row>
    <row r="14" spans="1:13" x14ac:dyDescent="0.2">
      <c r="A14" t="s">
        <v>26</v>
      </c>
      <c r="B14" t="s">
        <v>14</v>
      </c>
      <c r="C14">
        <v>9325239000791</v>
      </c>
      <c r="D14" t="s">
        <v>18</v>
      </c>
      <c r="E14">
        <v>1</v>
      </c>
      <c r="F14">
        <v>9.4</v>
      </c>
      <c r="G14">
        <v>0</v>
      </c>
      <c r="H14">
        <v>0</v>
      </c>
      <c r="I14">
        <v>-1.88</v>
      </c>
      <c r="J14">
        <v>7.52</v>
      </c>
      <c r="K14">
        <v>0</v>
      </c>
      <c r="L14">
        <v>7.52</v>
      </c>
      <c r="M14">
        <v>1</v>
      </c>
    </row>
    <row r="15" spans="1:13" x14ac:dyDescent="0.2">
      <c r="A15" t="s">
        <v>741</v>
      </c>
      <c r="B15" t="s">
        <v>14</v>
      </c>
      <c r="C15">
        <v>9325239000081</v>
      </c>
      <c r="D15" t="s">
        <v>18</v>
      </c>
      <c r="E15">
        <v>1</v>
      </c>
      <c r="F15">
        <v>10.8</v>
      </c>
      <c r="G15">
        <v>0</v>
      </c>
      <c r="H15">
        <v>0</v>
      </c>
      <c r="I15">
        <v>0</v>
      </c>
      <c r="J15">
        <v>10.8</v>
      </c>
      <c r="K15">
        <v>0</v>
      </c>
      <c r="L15">
        <v>10.8</v>
      </c>
      <c r="M15">
        <v>1</v>
      </c>
    </row>
    <row r="16" spans="1:13" x14ac:dyDescent="0.2">
      <c r="A16" t="s">
        <v>25</v>
      </c>
      <c r="B16" t="s">
        <v>14</v>
      </c>
      <c r="C16">
        <v>9325239000128</v>
      </c>
      <c r="D16" t="s">
        <v>18</v>
      </c>
      <c r="E16">
        <v>3</v>
      </c>
      <c r="F16">
        <v>28.2</v>
      </c>
      <c r="G16">
        <v>0</v>
      </c>
      <c r="H16">
        <v>0</v>
      </c>
      <c r="I16">
        <v>0</v>
      </c>
      <c r="J16">
        <v>28.2</v>
      </c>
      <c r="K16">
        <v>0</v>
      </c>
      <c r="L16">
        <v>28.2</v>
      </c>
      <c r="M16">
        <v>3</v>
      </c>
    </row>
    <row r="17" spans="1:13" x14ac:dyDescent="0.2">
      <c r="A17" t="s">
        <v>24</v>
      </c>
      <c r="B17" t="s">
        <v>14</v>
      </c>
      <c r="C17">
        <v>9325239001019</v>
      </c>
      <c r="D17" t="s">
        <v>18</v>
      </c>
      <c r="E17">
        <v>2</v>
      </c>
      <c r="F17">
        <v>20</v>
      </c>
      <c r="G17">
        <v>0</v>
      </c>
      <c r="H17">
        <v>0</v>
      </c>
      <c r="I17">
        <v>-2.2599999999999998</v>
      </c>
      <c r="J17">
        <v>17.739999999999998</v>
      </c>
      <c r="K17">
        <v>0</v>
      </c>
      <c r="L17">
        <v>17.739999999999998</v>
      </c>
      <c r="M17">
        <v>2</v>
      </c>
    </row>
    <row r="18" spans="1:13" x14ac:dyDescent="0.2">
      <c r="A18" t="s">
        <v>324</v>
      </c>
      <c r="B18" t="s">
        <v>14</v>
      </c>
      <c r="C18">
        <v>9325239000098</v>
      </c>
      <c r="D18" t="s">
        <v>18</v>
      </c>
      <c r="E18">
        <v>1</v>
      </c>
      <c r="F18">
        <v>8.9499999999999993</v>
      </c>
      <c r="G18">
        <v>0</v>
      </c>
      <c r="H18">
        <v>0</v>
      </c>
      <c r="I18">
        <v>0</v>
      </c>
      <c r="J18">
        <v>8.9499999999999993</v>
      </c>
      <c r="K18">
        <v>0</v>
      </c>
      <c r="L18">
        <v>8.9499999999999993</v>
      </c>
      <c r="M18">
        <v>1</v>
      </c>
    </row>
    <row r="19" spans="1:13" x14ac:dyDescent="0.2">
      <c r="A19" t="s">
        <v>280</v>
      </c>
      <c r="B19" t="s">
        <v>14</v>
      </c>
      <c r="C19">
        <v>9325239000074</v>
      </c>
      <c r="D19" t="s">
        <v>18</v>
      </c>
      <c r="E19">
        <v>2</v>
      </c>
      <c r="F19">
        <v>18.8</v>
      </c>
      <c r="G19">
        <v>0</v>
      </c>
      <c r="H19">
        <v>0</v>
      </c>
      <c r="I19">
        <v>-1.88</v>
      </c>
      <c r="J19">
        <v>16.920000000000002</v>
      </c>
      <c r="K19">
        <v>0</v>
      </c>
      <c r="L19">
        <v>16.920000000000002</v>
      </c>
      <c r="M19">
        <v>2</v>
      </c>
    </row>
    <row r="20" spans="1:13" x14ac:dyDescent="0.2">
      <c r="A20" t="s">
        <v>22</v>
      </c>
      <c r="B20" t="s">
        <v>14</v>
      </c>
      <c r="C20">
        <v>9325239000258</v>
      </c>
      <c r="D20" t="s">
        <v>18</v>
      </c>
      <c r="E20">
        <v>11</v>
      </c>
      <c r="F20">
        <v>103.4</v>
      </c>
      <c r="G20">
        <v>0</v>
      </c>
      <c r="H20">
        <v>0</v>
      </c>
      <c r="I20">
        <v>-10.119999999999999</v>
      </c>
      <c r="J20">
        <v>93.28</v>
      </c>
      <c r="K20">
        <v>0</v>
      </c>
      <c r="L20">
        <v>93.28</v>
      </c>
      <c r="M20">
        <v>11</v>
      </c>
    </row>
    <row r="21" spans="1:13" hidden="1" x14ac:dyDescent="0.2">
      <c r="A21" t="s">
        <v>502</v>
      </c>
      <c r="B21" t="s">
        <v>14</v>
      </c>
      <c r="C21">
        <v>4000446011376</v>
      </c>
      <c r="D21" t="s">
        <v>18</v>
      </c>
      <c r="E21">
        <v>2</v>
      </c>
      <c r="F21">
        <v>15.5</v>
      </c>
      <c r="G21">
        <v>0</v>
      </c>
      <c r="H21">
        <v>0</v>
      </c>
      <c r="I21">
        <v>0</v>
      </c>
      <c r="J21">
        <v>15.5</v>
      </c>
      <c r="K21">
        <v>0</v>
      </c>
      <c r="L21">
        <v>15.5</v>
      </c>
      <c r="M21">
        <v>2</v>
      </c>
    </row>
    <row r="22" spans="1:13" hidden="1" x14ac:dyDescent="0.2">
      <c r="A22" t="s">
        <v>446</v>
      </c>
      <c r="B22" t="s">
        <v>14</v>
      </c>
      <c r="C22">
        <v>735850488790</v>
      </c>
      <c r="D22" t="s">
        <v>18</v>
      </c>
      <c r="E22">
        <v>3</v>
      </c>
      <c r="F22">
        <v>52.5</v>
      </c>
      <c r="G22">
        <v>0</v>
      </c>
      <c r="H22">
        <v>0</v>
      </c>
      <c r="I22">
        <v>0</v>
      </c>
      <c r="J22">
        <v>52.5</v>
      </c>
      <c r="K22">
        <v>0</v>
      </c>
      <c r="L22">
        <v>52.5</v>
      </c>
      <c r="M22">
        <v>3</v>
      </c>
    </row>
    <row r="23" spans="1:13" hidden="1" x14ac:dyDescent="0.2">
      <c r="A23" t="s">
        <v>444</v>
      </c>
      <c r="B23" t="s">
        <v>14</v>
      </c>
      <c r="C23">
        <v>9311254002490</v>
      </c>
      <c r="D23" t="s">
        <v>18</v>
      </c>
      <c r="E23">
        <v>1</v>
      </c>
      <c r="F23">
        <v>14.1</v>
      </c>
      <c r="G23">
        <v>0</v>
      </c>
      <c r="H23">
        <v>0</v>
      </c>
      <c r="I23">
        <v>0</v>
      </c>
      <c r="J23">
        <v>14.1</v>
      </c>
      <c r="K23">
        <v>0</v>
      </c>
      <c r="L23">
        <v>14.1</v>
      </c>
      <c r="M23">
        <v>1</v>
      </c>
    </row>
    <row r="24" spans="1:13" hidden="1" x14ac:dyDescent="0.2">
      <c r="A24" t="s">
        <v>499</v>
      </c>
      <c r="B24" t="s">
        <v>14</v>
      </c>
      <c r="C24">
        <v>5032722312227</v>
      </c>
      <c r="D24" t="s">
        <v>18</v>
      </c>
      <c r="E24">
        <v>2</v>
      </c>
      <c r="F24">
        <v>18.600000000000001</v>
      </c>
      <c r="G24">
        <v>0</v>
      </c>
      <c r="H24">
        <v>0</v>
      </c>
      <c r="I24">
        <v>0</v>
      </c>
      <c r="J24">
        <v>18.600000000000001</v>
      </c>
      <c r="K24">
        <v>0</v>
      </c>
      <c r="L24">
        <v>18.600000000000001</v>
      </c>
      <c r="M24">
        <v>2</v>
      </c>
    </row>
    <row r="25" spans="1:13" hidden="1" x14ac:dyDescent="0.2">
      <c r="A25" t="s">
        <v>945</v>
      </c>
      <c r="B25" t="s">
        <v>14</v>
      </c>
      <c r="C25">
        <v>5032722303607</v>
      </c>
      <c r="D25" t="s">
        <v>18</v>
      </c>
      <c r="E25">
        <v>1</v>
      </c>
      <c r="F25">
        <v>8.9499999999999993</v>
      </c>
      <c r="G25">
        <v>0</v>
      </c>
      <c r="H25">
        <v>0</v>
      </c>
      <c r="I25">
        <v>0</v>
      </c>
      <c r="J25">
        <v>8.9499999999999993</v>
      </c>
      <c r="K25">
        <v>0</v>
      </c>
      <c r="L25">
        <v>8.9499999999999993</v>
      </c>
      <c r="M25">
        <v>1</v>
      </c>
    </row>
    <row r="26" spans="1:13" hidden="1" x14ac:dyDescent="0.2">
      <c r="A26" t="s">
        <v>500</v>
      </c>
      <c r="B26" t="s">
        <v>14</v>
      </c>
      <c r="C26">
        <v>5032722305953</v>
      </c>
      <c r="D26" t="s">
        <v>18</v>
      </c>
      <c r="E26">
        <v>1</v>
      </c>
      <c r="F26">
        <v>9.3000000000000007</v>
      </c>
      <c r="G26">
        <v>0</v>
      </c>
      <c r="H26">
        <v>0</v>
      </c>
      <c r="I26">
        <v>0</v>
      </c>
      <c r="J26">
        <v>9.3000000000000007</v>
      </c>
      <c r="K26">
        <v>0</v>
      </c>
      <c r="L26">
        <v>9.3000000000000007</v>
      </c>
      <c r="M26">
        <v>1</v>
      </c>
    </row>
    <row r="27" spans="1:13" hidden="1" x14ac:dyDescent="0.2">
      <c r="A27" t="s">
        <v>19</v>
      </c>
      <c r="B27" t="s">
        <v>14</v>
      </c>
      <c r="C27">
        <v>9369998065462</v>
      </c>
      <c r="D27" t="s">
        <v>18</v>
      </c>
      <c r="E27">
        <v>4</v>
      </c>
      <c r="F27">
        <v>68</v>
      </c>
      <c r="G27">
        <v>0</v>
      </c>
      <c r="H27">
        <v>0</v>
      </c>
      <c r="I27">
        <v>-0.38</v>
      </c>
      <c r="J27">
        <v>67.62</v>
      </c>
      <c r="K27">
        <v>0</v>
      </c>
      <c r="L27">
        <v>67.62</v>
      </c>
      <c r="M27">
        <v>4</v>
      </c>
    </row>
    <row r="28" spans="1:13" hidden="1" x14ac:dyDescent="0.2">
      <c r="A28" t="s">
        <v>594</v>
      </c>
      <c r="B28" t="s">
        <v>14</v>
      </c>
      <c r="C28">
        <v>9320895001854</v>
      </c>
      <c r="D28" t="s">
        <v>18</v>
      </c>
      <c r="E28">
        <v>2</v>
      </c>
      <c r="F28">
        <v>12.2</v>
      </c>
      <c r="G28">
        <v>0</v>
      </c>
      <c r="H28">
        <v>0</v>
      </c>
      <c r="I28">
        <v>0</v>
      </c>
      <c r="J28">
        <v>12.2</v>
      </c>
      <c r="K28">
        <v>0</v>
      </c>
      <c r="L28">
        <v>12.2</v>
      </c>
      <c r="M28">
        <v>2</v>
      </c>
    </row>
    <row r="29" spans="1:13" hidden="1" x14ac:dyDescent="0.2">
      <c r="A29" t="s">
        <v>501</v>
      </c>
      <c r="B29" t="s">
        <v>14</v>
      </c>
      <c r="C29">
        <v>9358153000011</v>
      </c>
      <c r="D29" t="s">
        <v>18</v>
      </c>
      <c r="E29">
        <v>1</v>
      </c>
      <c r="F29">
        <v>11.35</v>
      </c>
      <c r="G29">
        <v>0</v>
      </c>
      <c r="H29">
        <v>0</v>
      </c>
      <c r="I29">
        <v>0</v>
      </c>
      <c r="J29">
        <v>11.35</v>
      </c>
      <c r="K29">
        <v>0</v>
      </c>
      <c r="L29">
        <v>11.35</v>
      </c>
      <c r="M29">
        <v>1</v>
      </c>
    </row>
    <row r="30" spans="1:13" hidden="1" x14ac:dyDescent="0.2">
      <c r="A30" t="s">
        <v>946</v>
      </c>
      <c r="B30" t="s">
        <v>14</v>
      </c>
      <c r="C30">
        <v>799439078857</v>
      </c>
      <c r="D30" t="s">
        <v>18</v>
      </c>
      <c r="E30">
        <v>1</v>
      </c>
      <c r="F30">
        <v>10.7</v>
      </c>
      <c r="G30">
        <v>0</v>
      </c>
      <c r="H30">
        <v>0</v>
      </c>
      <c r="I30">
        <v>0</v>
      </c>
      <c r="J30">
        <v>10.7</v>
      </c>
      <c r="K30">
        <v>0</v>
      </c>
      <c r="L30">
        <v>10.7</v>
      </c>
      <c r="M30">
        <v>1</v>
      </c>
    </row>
    <row r="31" spans="1:13" hidden="1" x14ac:dyDescent="0.2">
      <c r="A31" t="s">
        <v>304</v>
      </c>
      <c r="B31" t="s">
        <v>14</v>
      </c>
      <c r="C31">
        <v>799439079007</v>
      </c>
      <c r="D31" t="s">
        <v>18</v>
      </c>
      <c r="E31">
        <v>2</v>
      </c>
      <c r="F31">
        <v>22.9</v>
      </c>
      <c r="G31">
        <v>0</v>
      </c>
      <c r="H31">
        <v>0</v>
      </c>
      <c r="I31">
        <v>0</v>
      </c>
      <c r="J31">
        <v>22.9</v>
      </c>
      <c r="K31">
        <v>0</v>
      </c>
      <c r="L31">
        <v>22.9</v>
      </c>
      <c r="M31">
        <v>2</v>
      </c>
    </row>
    <row r="32" spans="1:13" hidden="1" x14ac:dyDescent="0.2">
      <c r="A32" t="s">
        <v>596</v>
      </c>
      <c r="B32" t="s">
        <v>14</v>
      </c>
      <c r="C32">
        <v>799439079038</v>
      </c>
      <c r="D32" t="s">
        <v>18</v>
      </c>
      <c r="E32">
        <v>1</v>
      </c>
      <c r="F32">
        <v>15.3</v>
      </c>
      <c r="G32">
        <v>0</v>
      </c>
      <c r="H32">
        <v>0</v>
      </c>
      <c r="I32">
        <v>0</v>
      </c>
      <c r="J32">
        <v>15.3</v>
      </c>
      <c r="K32">
        <v>0</v>
      </c>
      <c r="L32">
        <v>15.3</v>
      </c>
      <c r="M32">
        <v>1</v>
      </c>
    </row>
    <row r="33" spans="1:13" hidden="1" x14ac:dyDescent="0.2">
      <c r="A33" t="s">
        <v>947</v>
      </c>
      <c r="B33" t="s">
        <v>14</v>
      </c>
      <c r="C33">
        <v>9349227000198</v>
      </c>
      <c r="D33" t="s">
        <v>18</v>
      </c>
      <c r="E33">
        <v>7</v>
      </c>
      <c r="F33">
        <v>54.95</v>
      </c>
      <c r="G33">
        <v>0</v>
      </c>
      <c r="H33">
        <v>0</v>
      </c>
      <c r="I33">
        <v>-2.0099999999999998</v>
      </c>
      <c r="J33">
        <v>52.94</v>
      </c>
      <c r="K33">
        <v>0</v>
      </c>
      <c r="L33">
        <v>52.94</v>
      </c>
      <c r="M33">
        <v>7</v>
      </c>
    </row>
    <row r="34" spans="1:13" hidden="1" x14ac:dyDescent="0.2">
      <c r="A34" t="s">
        <v>20</v>
      </c>
      <c r="B34" t="s">
        <v>14</v>
      </c>
      <c r="C34">
        <v>9349227000211</v>
      </c>
      <c r="D34" t="s">
        <v>18</v>
      </c>
      <c r="E34">
        <v>4</v>
      </c>
      <c r="F34">
        <v>47.6</v>
      </c>
      <c r="G34">
        <v>0</v>
      </c>
      <c r="H34">
        <v>0</v>
      </c>
      <c r="I34">
        <v>-1.04</v>
      </c>
      <c r="J34">
        <v>46.56</v>
      </c>
      <c r="K34">
        <v>0</v>
      </c>
      <c r="L34">
        <v>46.56</v>
      </c>
      <c r="M34">
        <v>4</v>
      </c>
    </row>
    <row r="35" spans="1:13" hidden="1" x14ac:dyDescent="0.2">
      <c r="A35" t="s">
        <v>739</v>
      </c>
      <c r="B35" t="s">
        <v>14</v>
      </c>
      <c r="C35">
        <v>793618192747</v>
      </c>
      <c r="D35" t="s">
        <v>18</v>
      </c>
      <c r="E35">
        <v>1</v>
      </c>
      <c r="F35">
        <v>13.95</v>
      </c>
      <c r="G35">
        <v>0</v>
      </c>
      <c r="H35">
        <v>0</v>
      </c>
      <c r="I35">
        <v>0</v>
      </c>
      <c r="J35">
        <v>13.95</v>
      </c>
      <c r="K35">
        <v>0</v>
      </c>
      <c r="L35">
        <v>13.95</v>
      </c>
      <c r="M35">
        <v>1</v>
      </c>
    </row>
    <row r="36" spans="1:13" hidden="1" x14ac:dyDescent="0.2">
      <c r="A36" t="s">
        <v>740</v>
      </c>
      <c r="B36" t="s">
        <v>14</v>
      </c>
      <c r="C36">
        <v>754590186803</v>
      </c>
      <c r="D36" t="s">
        <v>18</v>
      </c>
      <c r="E36">
        <v>3</v>
      </c>
      <c r="F36">
        <v>52.5</v>
      </c>
      <c r="G36">
        <v>0</v>
      </c>
      <c r="H36">
        <v>0</v>
      </c>
      <c r="I36">
        <v>-17.5</v>
      </c>
      <c r="J36">
        <v>35</v>
      </c>
      <c r="K36">
        <v>0</v>
      </c>
      <c r="L36">
        <v>35</v>
      </c>
      <c r="M36">
        <v>3</v>
      </c>
    </row>
  </sheetData>
  <pageMargins left="0.7" right="0.7" top="0.75" bottom="0.75" header="0.3" footer="0.3"/>
  <pageSetup paperSize="9" orientation="portrait" horizontalDpi="0" verticalDpi="0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83DFCA-2532-3644-BC34-992867BB98A0}">
  <dimension ref="A1:M69"/>
  <sheetViews>
    <sheetView workbookViewId="0">
      <selection activeCell="A3" sqref="A3:M69"/>
    </sheetView>
  </sheetViews>
  <sheetFormatPr baseColWidth="10" defaultRowHeight="16" x14ac:dyDescent="0.2"/>
  <cols>
    <col min="1" max="1" width="52.6640625" bestFit="1" customWidth="1"/>
    <col min="2" max="2" width="15.33203125" bestFit="1" customWidth="1"/>
    <col min="3" max="3" width="12.1640625" bestFit="1" customWidth="1"/>
    <col min="4" max="4" width="12.5" bestFit="1" customWidth="1"/>
    <col min="5" max="5" width="12.33203125" bestFit="1" customWidth="1"/>
    <col min="6" max="6" width="15" bestFit="1" customWidth="1"/>
    <col min="7" max="7" width="16.6640625" bestFit="1" customWidth="1"/>
    <col min="8" max="8" width="11" bestFit="1" customWidth="1"/>
    <col min="9" max="9" width="20.1640625" bestFit="1" customWidth="1"/>
    <col min="10" max="10" width="11.5" bestFit="1" customWidth="1"/>
    <col min="11" max="11" width="11" bestFit="1" customWidth="1"/>
    <col min="12" max="12" width="13.5" bestFit="1" customWidth="1"/>
    <col min="13" max="13" width="11.83203125" bestFit="1" customWidth="1"/>
  </cols>
  <sheetData>
    <row r="1" spans="1:13" x14ac:dyDescent="0.2">
      <c r="A1" s="4" t="s">
        <v>1363</v>
      </c>
    </row>
    <row r="3" spans="1:13" x14ac:dyDescent="0.2">
      <c r="A3" t="s">
        <v>0</v>
      </c>
      <c r="B3" t="s">
        <v>1</v>
      </c>
      <c r="C3" t="s">
        <v>2</v>
      </c>
      <c r="D3" t="s">
        <v>3</v>
      </c>
      <c r="E3" t="s">
        <v>4</v>
      </c>
      <c r="F3" t="s">
        <v>5</v>
      </c>
      <c r="G3" t="s">
        <v>6</v>
      </c>
      <c r="H3" t="s">
        <v>7</v>
      </c>
      <c r="I3" t="s">
        <v>8</v>
      </c>
      <c r="J3" t="s">
        <v>9</v>
      </c>
      <c r="K3" t="s">
        <v>10</v>
      </c>
      <c r="L3" t="s">
        <v>11</v>
      </c>
      <c r="M3" t="s">
        <v>12</v>
      </c>
    </row>
    <row r="4" spans="1:13" x14ac:dyDescent="0.2">
      <c r="A4" t="s">
        <v>1250</v>
      </c>
      <c r="B4" t="s">
        <v>14</v>
      </c>
      <c r="C4">
        <v>4001638501989</v>
      </c>
      <c r="D4" t="s">
        <v>163</v>
      </c>
      <c r="E4">
        <v>1</v>
      </c>
      <c r="F4">
        <v>12.89</v>
      </c>
      <c r="G4">
        <v>0</v>
      </c>
      <c r="H4">
        <v>0</v>
      </c>
      <c r="I4">
        <v>0</v>
      </c>
      <c r="J4">
        <v>12.89</v>
      </c>
      <c r="K4">
        <v>1.31</v>
      </c>
      <c r="L4">
        <v>14.2</v>
      </c>
      <c r="M4">
        <v>1</v>
      </c>
    </row>
    <row r="5" spans="1:13" x14ac:dyDescent="0.2">
      <c r="A5" t="s">
        <v>1249</v>
      </c>
      <c r="B5" t="s">
        <v>14</v>
      </c>
      <c r="C5">
        <v>4001638501491</v>
      </c>
      <c r="D5" t="s">
        <v>163</v>
      </c>
      <c r="E5">
        <v>1</v>
      </c>
      <c r="F5">
        <v>29.83</v>
      </c>
      <c r="G5">
        <v>0</v>
      </c>
      <c r="H5">
        <v>0</v>
      </c>
      <c r="I5">
        <v>0</v>
      </c>
      <c r="J5">
        <v>29.83</v>
      </c>
      <c r="K5">
        <v>3.02</v>
      </c>
      <c r="L5">
        <v>32.85</v>
      </c>
      <c r="M5">
        <v>1</v>
      </c>
    </row>
    <row r="6" spans="1:13" x14ac:dyDescent="0.2">
      <c r="A6" t="s">
        <v>1248</v>
      </c>
      <c r="B6" t="s">
        <v>14</v>
      </c>
      <c r="C6">
        <v>4001638530248</v>
      </c>
      <c r="D6" t="s">
        <v>163</v>
      </c>
      <c r="E6">
        <v>1</v>
      </c>
      <c r="F6">
        <v>16.89</v>
      </c>
      <c r="G6">
        <v>0</v>
      </c>
      <c r="H6">
        <v>0</v>
      </c>
      <c r="I6">
        <v>0</v>
      </c>
      <c r="J6">
        <v>16.89</v>
      </c>
      <c r="K6">
        <v>1.71</v>
      </c>
      <c r="L6">
        <v>18.600000000000001</v>
      </c>
      <c r="M6">
        <v>1</v>
      </c>
    </row>
    <row r="7" spans="1:13" x14ac:dyDescent="0.2">
      <c r="A7" t="s">
        <v>1247</v>
      </c>
      <c r="B7" t="s">
        <v>14</v>
      </c>
      <c r="C7">
        <v>7611916153600</v>
      </c>
      <c r="D7" t="s">
        <v>163</v>
      </c>
      <c r="E7">
        <v>1</v>
      </c>
      <c r="F7">
        <v>19.89</v>
      </c>
      <c r="G7">
        <v>0</v>
      </c>
      <c r="H7">
        <v>0</v>
      </c>
      <c r="I7">
        <v>0</v>
      </c>
      <c r="J7">
        <v>19.89</v>
      </c>
      <c r="K7">
        <v>2.0099999999999998</v>
      </c>
      <c r="L7">
        <v>21.9</v>
      </c>
      <c r="M7">
        <v>1</v>
      </c>
    </row>
    <row r="8" spans="1:13" x14ac:dyDescent="0.2">
      <c r="A8" t="s">
        <v>1246</v>
      </c>
      <c r="B8" t="s">
        <v>14</v>
      </c>
      <c r="C8">
        <v>731722043432</v>
      </c>
      <c r="D8" t="s">
        <v>163</v>
      </c>
      <c r="E8">
        <v>1</v>
      </c>
      <c r="F8">
        <v>26.02</v>
      </c>
      <c r="G8">
        <v>0</v>
      </c>
      <c r="H8">
        <v>0</v>
      </c>
      <c r="I8">
        <v>0</v>
      </c>
      <c r="J8">
        <v>26.02</v>
      </c>
      <c r="K8">
        <v>2.63</v>
      </c>
      <c r="L8">
        <v>28.65</v>
      </c>
      <c r="M8">
        <v>1</v>
      </c>
    </row>
    <row r="9" spans="1:13" x14ac:dyDescent="0.2">
      <c r="A9" t="s">
        <v>1245</v>
      </c>
      <c r="B9" t="s">
        <v>14</v>
      </c>
      <c r="C9">
        <v>746092298047</v>
      </c>
      <c r="D9" t="s">
        <v>163</v>
      </c>
      <c r="E9">
        <v>2</v>
      </c>
      <c r="F9">
        <v>32.950000000000003</v>
      </c>
      <c r="G9">
        <v>0</v>
      </c>
      <c r="H9">
        <v>0</v>
      </c>
      <c r="I9">
        <v>-2.65</v>
      </c>
      <c r="J9">
        <v>30.3</v>
      </c>
      <c r="K9">
        <v>3.05</v>
      </c>
      <c r="L9">
        <v>33.35</v>
      </c>
      <c r="M9">
        <v>2</v>
      </c>
    </row>
    <row r="10" spans="1:13" x14ac:dyDescent="0.2">
      <c r="A10" t="s">
        <v>1244</v>
      </c>
      <c r="B10" t="s">
        <v>14</v>
      </c>
      <c r="D10" t="s">
        <v>163</v>
      </c>
      <c r="E10">
        <v>1</v>
      </c>
      <c r="F10">
        <v>25.95</v>
      </c>
      <c r="G10">
        <v>0</v>
      </c>
      <c r="H10">
        <v>0</v>
      </c>
      <c r="I10">
        <v>0</v>
      </c>
      <c r="J10">
        <v>25.95</v>
      </c>
      <c r="K10">
        <v>0</v>
      </c>
      <c r="L10">
        <v>25.95</v>
      </c>
      <c r="M10">
        <v>1</v>
      </c>
    </row>
    <row r="11" spans="1:13" x14ac:dyDescent="0.2">
      <c r="A11" t="s">
        <v>1243</v>
      </c>
      <c r="B11" t="s">
        <v>14</v>
      </c>
      <c r="C11">
        <v>9369900027816</v>
      </c>
      <c r="D11" t="s">
        <v>163</v>
      </c>
      <c r="E11">
        <v>1</v>
      </c>
      <c r="F11">
        <v>46.77</v>
      </c>
      <c r="G11">
        <v>0</v>
      </c>
      <c r="H11">
        <v>0</v>
      </c>
      <c r="I11">
        <v>0</v>
      </c>
      <c r="J11">
        <v>46.77</v>
      </c>
      <c r="K11">
        <v>4.7300000000000004</v>
      </c>
      <c r="L11">
        <v>51.5</v>
      </c>
      <c r="M11">
        <v>1</v>
      </c>
    </row>
    <row r="12" spans="1:13" x14ac:dyDescent="0.2">
      <c r="A12" t="s">
        <v>1242</v>
      </c>
      <c r="B12" t="s">
        <v>14</v>
      </c>
      <c r="C12">
        <v>9369998510207</v>
      </c>
      <c r="D12" t="s">
        <v>163</v>
      </c>
      <c r="E12">
        <v>1</v>
      </c>
      <c r="F12">
        <v>46.82</v>
      </c>
      <c r="G12">
        <v>0</v>
      </c>
      <c r="H12">
        <v>0</v>
      </c>
      <c r="I12">
        <v>0</v>
      </c>
      <c r="J12">
        <v>46.82</v>
      </c>
      <c r="K12">
        <v>4.68</v>
      </c>
      <c r="L12">
        <v>51.5</v>
      </c>
      <c r="M12">
        <v>1</v>
      </c>
    </row>
    <row r="13" spans="1:13" x14ac:dyDescent="0.2">
      <c r="A13" t="s">
        <v>1241</v>
      </c>
      <c r="B13" t="s">
        <v>14</v>
      </c>
      <c r="C13">
        <v>9350771002576</v>
      </c>
      <c r="D13" t="s">
        <v>163</v>
      </c>
      <c r="E13">
        <v>1</v>
      </c>
      <c r="F13">
        <v>35.78</v>
      </c>
      <c r="G13">
        <v>0</v>
      </c>
      <c r="H13">
        <v>0</v>
      </c>
      <c r="I13">
        <v>0</v>
      </c>
      <c r="J13">
        <v>35.78</v>
      </c>
      <c r="K13">
        <v>3.62</v>
      </c>
      <c r="L13">
        <v>39.4</v>
      </c>
      <c r="M13">
        <v>1</v>
      </c>
    </row>
    <row r="14" spans="1:13" x14ac:dyDescent="0.2">
      <c r="A14" t="s">
        <v>1240</v>
      </c>
      <c r="B14" t="s">
        <v>14</v>
      </c>
      <c r="C14">
        <v>9342121000004</v>
      </c>
      <c r="D14" t="s">
        <v>163</v>
      </c>
      <c r="E14">
        <v>2</v>
      </c>
      <c r="F14">
        <v>47.49</v>
      </c>
      <c r="G14">
        <v>0</v>
      </c>
      <c r="H14">
        <v>0</v>
      </c>
      <c r="I14">
        <v>-3.88</v>
      </c>
      <c r="J14">
        <v>43.61</v>
      </c>
      <c r="K14">
        <v>4.41</v>
      </c>
      <c r="L14">
        <v>48.02</v>
      </c>
      <c r="M14">
        <v>2</v>
      </c>
    </row>
    <row r="15" spans="1:13" x14ac:dyDescent="0.2">
      <c r="A15" t="s">
        <v>1239</v>
      </c>
      <c r="B15" t="s">
        <v>14</v>
      </c>
      <c r="C15">
        <v>9369999341930</v>
      </c>
      <c r="D15" t="s">
        <v>163</v>
      </c>
      <c r="E15">
        <v>1</v>
      </c>
      <c r="F15">
        <v>28.6</v>
      </c>
      <c r="G15">
        <v>0</v>
      </c>
      <c r="H15">
        <v>0</v>
      </c>
      <c r="I15">
        <v>0</v>
      </c>
      <c r="J15">
        <v>28.6</v>
      </c>
      <c r="K15">
        <v>0</v>
      </c>
      <c r="L15">
        <v>28.6</v>
      </c>
      <c r="M15">
        <v>1</v>
      </c>
    </row>
    <row r="16" spans="1:13" x14ac:dyDescent="0.2">
      <c r="A16" t="s">
        <v>1238</v>
      </c>
      <c r="B16" t="s">
        <v>14</v>
      </c>
      <c r="C16">
        <v>9369900018418</v>
      </c>
      <c r="D16" t="s">
        <v>163</v>
      </c>
      <c r="E16">
        <v>1</v>
      </c>
      <c r="F16">
        <v>31.8</v>
      </c>
      <c r="G16">
        <v>0</v>
      </c>
      <c r="H16">
        <v>0</v>
      </c>
      <c r="I16">
        <v>0</v>
      </c>
      <c r="J16">
        <v>31.8</v>
      </c>
      <c r="K16">
        <v>0</v>
      </c>
      <c r="L16">
        <v>31.8</v>
      </c>
      <c r="M16">
        <v>1</v>
      </c>
    </row>
    <row r="17" spans="1:13" x14ac:dyDescent="0.2">
      <c r="A17" t="s">
        <v>1237</v>
      </c>
      <c r="B17" t="s">
        <v>14</v>
      </c>
      <c r="C17">
        <v>9309002269080</v>
      </c>
      <c r="D17" t="s">
        <v>163</v>
      </c>
      <c r="E17">
        <v>1</v>
      </c>
      <c r="F17">
        <v>26.06</v>
      </c>
      <c r="G17">
        <v>0</v>
      </c>
      <c r="H17">
        <v>0</v>
      </c>
      <c r="I17">
        <v>0</v>
      </c>
      <c r="J17">
        <v>26.06</v>
      </c>
      <c r="K17">
        <v>2.64</v>
      </c>
      <c r="L17">
        <v>28.7</v>
      </c>
      <c r="M17">
        <v>1</v>
      </c>
    </row>
    <row r="18" spans="1:13" x14ac:dyDescent="0.2">
      <c r="A18" t="s">
        <v>1236</v>
      </c>
      <c r="B18" t="s">
        <v>14</v>
      </c>
      <c r="C18">
        <v>9309002269066</v>
      </c>
      <c r="D18" t="s">
        <v>163</v>
      </c>
      <c r="E18">
        <v>1</v>
      </c>
      <c r="F18">
        <v>26.07</v>
      </c>
      <c r="G18">
        <v>0</v>
      </c>
      <c r="H18">
        <v>0</v>
      </c>
      <c r="I18">
        <v>0</v>
      </c>
      <c r="J18">
        <v>26.07</v>
      </c>
      <c r="K18">
        <v>2.63</v>
      </c>
      <c r="L18">
        <v>28.7</v>
      </c>
      <c r="M18">
        <v>1</v>
      </c>
    </row>
    <row r="19" spans="1:13" x14ac:dyDescent="0.2">
      <c r="A19" t="s">
        <v>1235</v>
      </c>
      <c r="B19" t="s">
        <v>14</v>
      </c>
      <c r="C19">
        <v>9309002269004</v>
      </c>
      <c r="D19" t="s">
        <v>163</v>
      </c>
      <c r="E19">
        <v>1</v>
      </c>
      <c r="F19">
        <v>26.3</v>
      </c>
      <c r="G19">
        <v>0</v>
      </c>
      <c r="H19">
        <v>0</v>
      </c>
      <c r="I19">
        <v>-2.63</v>
      </c>
      <c r="J19">
        <v>23.67</v>
      </c>
      <c r="K19">
        <v>2.4</v>
      </c>
      <c r="L19">
        <v>26.07</v>
      </c>
      <c r="M19">
        <v>1</v>
      </c>
    </row>
    <row r="20" spans="1:13" x14ac:dyDescent="0.2">
      <c r="A20" t="s">
        <v>1234</v>
      </c>
      <c r="B20" t="s">
        <v>14</v>
      </c>
      <c r="C20">
        <v>785034317491</v>
      </c>
      <c r="D20" t="s">
        <v>163</v>
      </c>
      <c r="E20">
        <v>1</v>
      </c>
      <c r="F20">
        <v>9.0299999999999994</v>
      </c>
      <c r="G20">
        <v>0</v>
      </c>
      <c r="H20">
        <v>0</v>
      </c>
      <c r="I20">
        <v>0</v>
      </c>
      <c r="J20">
        <v>9.0299999999999994</v>
      </c>
      <c r="K20">
        <v>0.92</v>
      </c>
      <c r="L20">
        <v>9.9499999999999993</v>
      </c>
      <c r="M20">
        <v>1</v>
      </c>
    </row>
    <row r="21" spans="1:13" x14ac:dyDescent="0.2">
      <c r="A21" t="s">
        <v>1233</v>
      </c>
      <c r="B21" t="s">
        <v>14</v>
      </c>
      <c r="C21">
        <v>8016867009928</v>
      </c>
      <c r="D21" t="s">
        <v>163</v>
      </c>
      <c r="E21">
        <v>2</v>
      </c>
      <c r="F21">
        <v>17</v>
      </c>
      <c r="G21">
        <v>0</v>
      </c>
      <c r="H21">
        <v>0</v>
      </c>
      <c r="I21">
        <v>0</v>
      </c>
      <c r="J21">
        <v>17</v>
      </c>
      <c r="K21">
        <v>0</v>
      </c>
      <c r="L21">
        <v>17</v>
      </c>
      <c r="M21">
        <v>2</v>
      </c>
    </row>
    <row r="22" spans="1:13" x14ac:dyDescent="0.2">
      <c r="A22" t="s">
        <v>894</v>
      </c>
      <c r="B22" t="s">
        <v>14</v>
      </c>
      <c r="C22">
        <v>9352218000046</v>
      </c>
      <c r="D22" t="s">
        <v>163</v>
      </c>
      <c r="E22">
        <v>1</v>
      </c>
      <c r="F22">
        <v>18.21</v>
      </c>
      <c r="G22">
        <v>0</v>
      </c>
      <c r="H22">
        <v>0</v>
      </c>
      <c r="I22">
        <v>0</v>
      </c>
      <c r="J22">
        <v>18.21</v>
      </c>
      <c r="K22">
        <v>1.84</v>
      </c>
      <c r="L22">
        <v>20.05</v>
      </c>
      <c r="M22">
        <v>1</v>
      </c>
    </row>
    <row r="23" spans="1:13" x14ac:dyDescent="0.2">
      <c r="A23" t="s">
        <v>397</v>
      </c>
      <c r="B23" t="s">
        <v>14</v>
      </c>
      <c r="C23">
        <v>9352218000862</v>
      </c>
      <c r="D23" t="s">
        <v>163</v>
      </c>
      <c r="E23">
        <v>2</v>
      </c>
      <c r="F23">
        <v>33.79</v>
      </c>
      <c r="G23">
        <v>0</v>
      </c>
      <c r="H23">
        <v>0</v>
      </c>
      <c r="I23">
        <v>0</v>
      </c>
      <c r="J23">
        <v>33.79</v>
      </c>
      <c r="K23">
        <v>3.41</v>
      </c>
      <c r="L23">
        <v>37.200000000000003</v>
      </c>
      <c r="M23">
        <v>2</v>
      </c>
    </row>
    <row r="24" spans="1:13" x14ac:dyDescent="0.2">
      <c r="A24" t="s">
        <v>1232</v>
      </c>
      <c r="B24" t="s">
        <v>14</v>
      </c>
      <c r="C24">
        <v>9352218000732</v>
      </c>
      <c r="D24" t="s">
        <v>163</v>
      </c>
      <c r="E24">
        <v>1</v>
      </c>
      <c r="F24">
        <v>25.52</v>
      </c>
      <c r="G24">
        <v>0</v>
      </c>
      <c r="H24">
        <v>0</v>
      </c>
      <c r="I24">
        <v>0</v>
      </c>
      <c r="J24">
        <v>25.52</v>
      </c>
      <c r="K24">
        <v>2.58</v>
      </c>
      <c r="L24">
        <v>28.1</v>
      </c>
      <c r="M24">
        <v>1</v>
      </c>
    </row>
    <row r="25" spans="1:13" x14ac:dyDescent="0.2">
      <c r="A25" t="s">
        <v>700</v>
      </c>
      <c r="B25" t="s">
        <v>14</v>
      </c>
      <c r="C25">
        <v>9352218000251</v>
      </c>
      <c r="D25" t="s">
        <v>163</v>
      </c>
      <c r="E25">
        <v>1</v>
      </c>
      <c r="F25">
        <v>16.3</v>
      </c>
      <c r="G25">
        <v>0</v>
      </c>
      <c r="H25">
        <v>0</v>
      </c>
      <c r="I25">
        <v>0</v>
      </c>
      <c r="J25">
        <v>16.3</v>
      </c>
      <c r="K25">
        <v>1.65</v>
      </c>
      <c r="L25">
        <v>17.95</v>
      </c>
      <c r="M25">
        <v>1</v>
      </c>
    </row>
    <row r="26" spans="1:13" x14ac:dyDescent="0.2">
      <c r="A26" t="s">
        <v>893</v>
      </c>
      <c r="B26" t="s">
        <v>14</v>
      </c>
      <c r="C26">
        <v>9352218000909</v>
      </c>
      <c r="D26" t="s">
        <v>163</v>
      </c>
      <c r="E26">
        <v>2</v>
      </c>
      <c r="F26">
        <v>33.909999999999997</v>
      </c>
      <c r="G26">
        <v>0</v>
      </c>
      <c r="H26">
        <v>0</v>
      </c>
      <c r="I26">
        <v>-1.36</v>
      </c>
      <c r="J26">
        <v>32.549999999999997</v>
      </c>
      <c r="K26">
        <v>3.29</v>
      </c>
      <c r="L26">
        <v>35.840000000000003</v>
      </c>
      <c r="M26">
        <v>2</v>
      </c>
    </row>
    <row r="27" spans="1:13" x14ac:dyDescent="0.2">
      <c r="A27" t="s">
        <v>1231</v>
      </c>
      <c r="B27" t="s">
        <v>14</v>
      </c>
      <c r="D27" t="s">
        <v>163</v>
      </c>
      <c r="E27">
        <v>1</v>
      </c>
      <c r="F27">
        <v>14.44</v>
      </c>
      <c r="G27">
        <v>0</v>
      </c>
      <c r="H27">
        <v>0</v>
      </c>
      <c r="I27">
        <v>0</v>
      </c>
      <c r="J27">
        <v>14.44</v>
      </c>
      <c r="K27">
        <v>1.46</v>
      </c>
      <c r="L27">
        <v>15.9</v>
      </c>
      <c r="M27">
        <v>1</v>
      </c>
    </row>
    <row r="28" spans="1:13" x14ac:dyDescent="0.2">
      <c r="A28" t="s">
        <v>699</v>
      </c>
      <c r="B28" t="s">
        <v>14</v>
      </c>
      <c r="C28">
        <v>782126203137</v>
      </c>
      <c r="D28" t="s">
        <v>163</v>
      </c>
      <c r="E28">
        <v>1</v>
      </c>
      <c r="F28">
        <v>6.18</v>
      </c>
      <c r="G28">
        <v>0</v>
      </c>
      <c r="H28">
        <v>0</v>
      </c>
      <c r="I28">
        <v>0</v>
      </c>
      <c r="J28">
        <v>6.18</v>
      </c>
      <c r="K28">
        <v>0.62</v>
      </c>
      <c r="L28">
        <v>6.8</v>
      </c>
      <c r="M28">
        <v>1</v>
      </c>
    </row>
    <row r="29" spans="1:13" x14ac:dyDescent="0.2">
      <c r="A29" t="s">
        <v>1230</v>
      </c>
      <c r="B29" t="s">
        <v>14</v>
      </c>
      <c r="C29">
        <v>781005414640</v>
      </c>
      <c r="D29" t="s">
        <v>163</v>
      </c>
      <c r="E29">
        <v>1</v>
      </c>
      <c r="F29">
        <v>46.27</v>
      </c>
      <c r="G29">
        <v>0</v>
      </c>
      <c r="H29">
        <v>0</v>
      </c>
      <c r="I29">
        <v>0</v>
      </c>
      <c r="J29">
        <v>46.27</v>
      </c>
      <c r="K29">
        <v>4.68</v>
      </c>
      <c r="L29">
        <v>50.95</v>
      </c>
      <c r="M29">
        <v>1</v>
      </c>
    </row>
    <row r="30" spans="1:13" x14ac:dyDescent="0.2">
      <c r="A30" t="s">
        <v>578</v>
      </c>
      <c r="B30" t="s">
        <v>14</v>
      </c>
      <c r="C30">
        <v>9359130000000</v>
      </c>
      <c r="D30" t="s">
        <v>163</v>
      </c>
      <c r="E30">
        <v>2</v>
      </c>
      <c r="F30">
        <v>70.2</v>
      </c>
      <c r="G30">
        <v>0</v>
      </c>
      <c r="H30">
        <v>0</v>
      </c>
      <c r="I30">
        <v>-2.56</v>
      </c>
      <c r="J30">
        <v>67.64</v>
      </c>
      <c r="K30">
        <v>0</v>
      </c>
      <c r="L30">
        <v>67.64</v>
      </c>
      <c r="M30">
        <v>2</v>
      </c>
    </row>
    <row r="31" spans="1:13" x14ac:dyDescent="0.2">
      <c r="A31" t="s">
        <v>892</v>
      </c>
      <c r="B31" t="s">
        <v>14</v>
      </c>
      <c r="C31">
        <v>9359130000017</v>
      </c>
      <c r="D31" t="s">
        <v>163</v>
      </c>
      <c r="E31">
        <v>1</v>
      </c>
      <c r="F31">
        <v>29.1</v>
      </c>
      <c r="G31">
        <v>0</v>
      </c>
      <c r="H31">
        <v>0</v>
      </c>
      <c r="I31">
        <v>-5.82</v>
      </c>
      <c r="J31">
        <v>23.28</v>
      </c>
      <c r="K31">
        <v>0</v>
      </c>
      <c r="L31">
        <v>23.28</v>
      </c>
      <c r="M31">
        <v>1</v>
      </c>
    </row>
    <row r="32" spans="1:13" x14ac:dyDescent="0.2">
      <c r="A32" t="s">
        <v>1229</v>
      </c>
      <c r="B32" t="s">
        <v>14</v>
      </c>
      <c r="C32">
        <v>9352471000180</v>
      </c>
      <c r="D32" t="s">
        <v>163</v>
      </c>
      <c r="E32">
        <v>2</v>
      </c>
      <c r="F32">
        <v>38.5</v>
      </c>
      <c r="G32">
        <v>0</v>
      </c>
      <c r="H32">
        <v>0</v>
      </c>
      <c r="I32">
        <v>0</v>
      </c>
      <c r="J32">
        <v>38.5</v>
      </c>
      <c r="K32">
        <v>3.9</v>
      </c>
      <c r="L32">
        <v>42.4</v>
      </c>
      <c r="M32">
        <v>2</v>
      </c>
    </row>
    <row r="33" spans="1:13" x14ac:dyDescent="0.2">
      <c r="A33" t="s">
        <v>1228</v>
      </c>
      <c r="B33" t="s">
        <v>14</v>
      </c>
      <c r="C33">
        <v>9352471000197</v>
      </c>
      <c r="D33" t="s">
        <v>163</v>
      </c>
      <c r="E33">
        <v>1</v>
      </c>
      <c r="F33">
        <v>19.350000000000001</v>
      </c>
      <c r="G33">
        <v>0</v>
      </c>
      <c r="H33">
        <v>0</v>
      </c>
      <c r="I33">
        <v>-1.1599999999999999</v>
      </c>
      <c r="J33">
        <v>18.190000000000001</v>
      </c>
      <c r="K33">
        <v>1.85</v>
      </c>
      <c r="L33">
        <v>20.04</v>
      </c>
      <c r="M33">
        <v>1</v>
      </c>
    </row>
    <row r="34" spans="1:13" x14ac:dyDescent="0.2">
      <c r="A34" t="s">
        <v>891</v>
      </c>
      <c r="B34" t="s">
        <v>14</v>
      </c>
      <c r="C34">
        <v>9346365000639</v>
      </c>
      <c r="D34" t="s">
        <v>163</v>
      </c>
      <c r="E34">
        <v>1</v>
      </c>
      <c r="F34">
        <v>29.93</v>
      </c>
      <c r="G34">
        <v>0</v>
      </c>
      <c r="H34">
        <v>0</v>
      </c>
      <c r="I34">
        <v>0</v>
      </c>
      <c r="J34">
        <v>29.93</v>
      </c>
      <c r="K34">
        <v>3.02</v>
      </c>
      <c r="L34">
        <v>32.950000000000003</v>
      </c>
      <c r="M34">
        <v>1</v>
      </c>
    </row>
    <row r="35" spans="1:13" x14ac:dyDescent="0.2">
      <c r="A35" t="s">
        <v>1227</v>
      </c>
      <c r="B35" t="s">
        <v>14</v>
      </c>
      <c r="C35">
        <v>9346365000103</v>
      </c>
      <c r="D35" t="s">
        <v>163</v>
      </c>
      <c r="E35">
        <v>1</v>
      </c>
      <c r="F35">
        <v>31.74</v>
      </c>
      <c r="G35">
        <v>0</v>
      </c>
      <c r="H35">
        <v>0</v>
      </c>
      <c r="I35">
        <v>0</v>
      </c>
      <c r="J35">
        <v>31.74</v>
      </c>
      <c r="K35">
        <v>3.21</v>
      </c>
      <c r="L35">
        <v>34.950000000000003</v>
      </c>
      <c r="M35">
        <v>1</v>
      </c>
    </row>
    <row r="36" spans="1:13" x14ac:dyDescent="0.2">
      <c r="A36" t="s">
        <v>1226</v>
      </c>
      <c r="B36" t="s">
        <v>14</v>
      </c>
      <c r="C36">
        <v>9346365001131</v>
      </c>
      <c r="D36" t="s">
        <v>163</v>
      </c>
      <c r="E36">
        <v>1</v>
      </c>
      <c r="F36">
        <v>27.2</v>
      </c>
      <c r="G36">
        <v>0</v>
      </c>
      <c r="H36">
        <v>0</v>
      </c>
      <c r="I36">
        <v>0</v>
      </c>
      <c r="J36">
        <v>27.2</v>
      </c>
      <c r="K36">
        <v>2.75</v>
      </c>
      <c r="L36">
        <v>29.95</v>
      </c>
      <c r="M36">
        <v>1</v>
      </c>
    </row>
    <row r="37" spans="1:13" x14ac:dyDescent="0.2">
      <c r="A37" t="s">
        <v>577</v>
      </c>
      <c r="B37" t="s">
        <v>14</v>
      </c>
      <c r="C37">
        <v>9312657009017</v>
      </c>
      <c r="D37" t="s">
        <v>163</v>
      </c>
      <c r="E37">
        <v>1</v>
      </c>
      <c r="F37">
        <v>7.04</v>
      </c>
      <c r="G37">
        <v>0</v>
      </c>
      <c r="H37">
        <v>0</v>
      </c>
      <c r="I37">
        <v>0</v>
      </c>
      <c r="J37">
        <v>7.04</v>
      </c>
      <c r="K37">
        <v>0.71</v>
      </c>
      <c r="L37">
        <v>7.75</v>
      </c>
      <c r="M37">
        <v>1</v>
      </c>
    </row>
    <row r="38" spans="1:13" x14ac:dyDescent="0.2">
      <c r="A38" t="s">
        <v>1225</v>
      </c>
      <c r="B38" t="s">
        <v>14</v>
      </c>
      <c r="C38">
        <v>851228005182</v>
      </c>
      <c r="D38" t="s">
        <v>163</v>
      </c>
      <c r="E38">
        <v>2</v>
      </c>
      <c r="F38">
        <v>17.25</v>
      </c>
      <c r="G38">
        <v>0</v>
      </c>
      <c r="H38">
        <v>0</v>
      </c>
      <c r="I38">
        <v>0</v>
      </c>
      <c r="J38">
        <v>17.25</v>
      </c>
      <c r="K38">
        <v>1.75</v>
      </c>
      <c r="L38">
        <v>19</v>
      </c>
      <c r="M38">
        <v>2</v>
      </c>
    </row>
    <row r="39" spans="1:13" x14ac:dyDescent="0.2">
      <c r="A39" t="s">
        <v>1224</v>
      </c>
      <c r="B39" t="s">
        <v>14</v>
      </c>
      <c r="C39">
        <v>851228005403</v>
      </c>
      <c r="D39" t="s">
        <v>163</v>
      </c>
      <c r="E39">
        <v>1</v>
      </c>
      <c r="F39">
        <v>8.6199999999999992</v>
      </c>
      <c r="G39">
        <v>0</v>
      </c>
      <c r="H39">
        <v>0</v>
      </c>
      <c r="I39">
        <v>0</v>
      </c>
      <c r="J39">
        <v>8.6199999999999992</v>
      </c>
      <c r="K39">
        <v>0.88</v>
      </c>
      <c r="L39">
        <v>9.5</v>
      </c>
      <c r="M39">
        <v>1</v>
      </c>
    </row>
    <row r="40" spans="1:13" x14ac:dyDescent="0.2">
      <c r="A40" t="s">
        <v>1223</v>
      </c>
      <c r="B40" t="s">
        <v>14</v>
      </c>
      <c r="C40">
        <v>851228005014</v>
      </c>
      <c r="D40" t="s">
        <v>163</v>
      </c>
      <c r="E40">
        <v>2</v>
      </c>
      <c r="F40">
        <v>17.260000000000002</v>
      </c>
      <c r="G40">
        <v>0</v>
      </c>
      <c r="H40">
        <v>0</v>
      </c>
      <c r="I40">
        <v>0</v>
      </c>
      <c r="J40">
        <v>17.260000000000002</v>
      </c>
      <c r="K40">
        <v>1.74</v>
      </c>
      <c r="L40">
        <v>19</v>
      </c>
      <c r="M40">
        <v>2</v>
      </c>
    </row>
    <row r="41" spans="1:13" x14ac:dyDescent="0.2">
      <c r="A41" t="s">
        <v>890</v>
      </c>
      <c r="B41" t="s">
        <v>14</v>
      </c>
      <c r="C41">
        <v>851228005007</v>
      </c>
      <c r="D41" t="s">
        <v>163</v>
      </c>
      <c r="E41">
        <v>2</v>
      </c>
      <c r="F41">
        <v>17.260000000000002</v>
      </c>
      <c r="G41">
        <v>0</v>
      </c>
      <c r="H41">
        <v>0</v>
      </c>
      <c r="I41">
        <v>0</v>
      </c>
      <c r="J41">
        <v>17.260000000000002</v>
      </c>
      <c r="K41">
        <v>1.74</v>
      </c>
      <c r="L41">
        <v>19</v>
      </c>
      <c r="M41">
        <v>2</v>
      </c>
    </row>
    <row r="42" spans="1:13" x14ac:dyDescent="0.2">
      <c r="A42" t="s">
        <v>1222</v>
      </c>
      <c r="B42" t="s">
        <v>14</v>
      </c>
      <c r="C42">
        <v>797776076314</v>
      </c>
      <c r="D42" t="s">
        <v>163</v>
      </c>
      <c r="E42">
        <v>1</v>
      </c>
      <c r="F42">
        <v>30.79</v>
      </c>
      <c r="G42">
        <v>0</v>
      </c>
      <c r="H42">
        <v>0</v>
      </c>
      <c r="I42">
        <v>0</v>
      </c>
      <c r="J42">
        <v>30.79</v>
      </c>
      <c r="K42">
        <v>3.11</v>
      </c>
      <c r="L42">
        <v>33.9</v>
      </c>
      <c r="M42">
        <v>1</v>
      </c>
    </row>
    <row r="43" spans="1:13" x14ac:dyDescent="0.2">
      <c r="A43" t="s">
        <v>1221</v>
      </c>
      <c r="B43" t="s">
        <v>14</v>
      </c>
      <c r="C43">
        <v>9421036302080</v>
      </c>
      <c r="D43" t="s">
        <v>163</v>
      </c>
      <c r="E43">
        <v>1</v>
      </c>
      <c r="F43">
        <v>7.72</v>
      </c>
      <c r="G43">
        <v>0</v>
      </c>
      <c r="H43">
        <v>0</v>
      </c>
      <c r="I43">
        <v>0</v>
      </c>
      <c r="J43">
        <v>7.72</v>
      </c>
      <c r="K43">
        <v>0.78</v>
      </c>
      <c r="L43">
        <v>8.5</v>
      </c>
      <c r="M43">
        <v>1</v>
      </c>
    </row>
    <row r="44" spans="1:13" x14ac:dyDescent="0.2">
      <c r="A44" t="s">
        <v>1220</v>
      </c>
      <c r="B44" t="s">
        <v>14</v>
      </c>
      <c r="C44">
        <v>1264966</v>
      </c>
      <c r="D44" t="s">
        <v>163</v>
      </c>
      <c r="E44">
        <v>1</v>
      </c>
      <c r="F44">
        <v>7.72</v>
      </c>
      <c r="G44">
        <v>0</v>
      </c>
      <c r="H44">
        <v>0</v>
      </c>
      <c r="I44">
        <v>0</v>
      </c>
      <c r="J44">
        <v>7.72</v>
      </c>
      <c r="K44">
        <v>0.78</v>
      </c>
      <c r="L44">
        <v>8.5</v>
      </c>
      <c r="M44">
        <v>1</v>
      </c>
    </row>
    <row r="45" spans="1:13" x14ac:dyDescent="0.2">
      <c r="A45" t="s">
        <v>576</v>
      </c>
      <c r="B45" t="s">
        <v>14</v>
      </c>
      <c r="C45">
        <v>9421036300390</v>
      </c>
      <c r="D45" t="s">
        <v>163</v>
      </c>
      <c r="E45">
        <v>4</v>
      </c>
      <c r="F45">
        <v>21.6</v>
      </c>
      <c r="G45">
        <v>0</v>
      </c>
      <c r="H45">
        <v>0</v>
      </c>
      <c r="I45">
        <v>0</v>
      </c>
      <c r="J45">
        <v>21.6</v>
      </c>
      <c r="K45">
        <v>2.2000000000000002</v>
      </c>
      <c r="L45">
        <v>23.8</v>
      </c>
      <c r="M45">
        <v>4</v>
      </c>
    </row>
    <row r="46" spans="1:13" x14ac:dyDescent="0.2">
      <c r="A46" t="s">
        <v>1219</v>
      </c>
      <c r="B46" t="s">
        <v>14</v>
      </c>
      <c r="C46">
        <v>9421036300567</v>
      </c>
      <c r="D46" t="s">
        <v>163</v>
      </c>
      <c r="E46">
        <v>1</v>
      </c>
      <c r="F46">
        <v>5.4</v>
      </c>
      <c r="G46">
        <v>0</v>
      </c>
      <c r="H46">
        <v>0</v>
      </c>
      <c r="I46">
        <v>0</v>
      </c>
      <c r="J46">
        <v>5.4</v>
      </c>
      <c r="K46">
        <v>0.55000000000000004</v>
      </c>
      <c r="L46">
        <v>5.95</v>
      </c>
      <c r="M46">
        <v>1</v>
      </c>
    </row>
    <row r="47" spans="1:13" x14ac:dyDescent="0.2">
      <c r="A47" t="s">
        <v>1218</v>
      </c>
      <c r="B47" t="s">
        <v>14</v>
      </c>
      <c r="C47">
        <v>9312812000903</v>
      </c>
      <c r="D47" t="s">
        <v>163</v>
      </c>
      <c r="E47">
        <v>1</v>
      </c>
      <c r="F47">
        <v>12.99</v>
      </c>
      <c r="G47">
        <v>0</v>
      </c>
      <c r="H47">
        <v>0</v>
      </c>
      <c r="I47">
        <v>0</v>
      </c>
      <c r="J47">
        <v>12.99</v>
      </c>
      <c r="K47">
        <v>1.31</v>
      </c>
      <c r="L47">
        <v>14.3</v>
      </c>
      <c r="M47">
        <v>1</v>
      </c>
    </row>
    <row r="48" spans="1:13" x14ac:dyDescent="0.2">
      <c r="A48" t="s">
        <v>889</v>
      </c>
      <c r="B48" t="s">
        <v>14</v>
      </c>
      <c r="C48">
        <v>9312812002006</v>
      </c>
      <c r="D48" t="s">
        <v>163</v>
      </c>
      <c r="E48">
        <v>1</v>
      </c>
      <c r="F48">
        <v>4.3600000000000003</v>
      </c>
      <c r="G48">
        <v>0</v>
      </c>
      <c r="H48">
        <v>0</v>
      </c>
      <c r="I48">
        <v>0</v>
      </c>
      <c r="J48">
        <v>4.3600000000000003</v>
      </c>
      <c r="K48">
        <v>0.44</v>
      </c>
      <c r="L48">
        <v>4.8</v>
      </c>
      <c r="M48">
        <v>1</v>
      </c>
    </row>
    <row r="49" spans="1:13" x14ac:dyDescent="0.2">
      <c r="A49" t="s">
        <v>1217</v>
      </c>
      <c r="B49" t="s">
        <v>14</v>
      </c>
      <c r="C49">
        <v>9337825001136</v>
      </c>
      <c r="D49" t="s">
        <v>163</v>
      </c>
      <c r="E49">
        <v>1</v>
      </c>
      <c r="F49">
        <v>8.49</v>
      </c>
      <c r="G49">
        <v>0</v>
      </c>
      <c r="H49">
        <v>0</v>
      </c>
      <c r="I49">
        <v>-2.46</v>
      </c>
      <c r="J49">
        <v>6.03</v>
      </c>
      <c r="K49">
        <v>0.61</v>
      </c>
      <c r="L49">
        <v>6.64</v>
      </c>
      <c r="M49">
        <v>1</v>
      </c>
    </row>
    <row r="50" spans="1:13" x14ac:dyDescent="0.2">
      <c r="A50" t="s">
        <v>1216</v>
      </c>
      <c r="B50" t="s">
        <v>14</v>
      </c>
      <c r="C50">
        <v>9413000008739</v>
      </c>
      <c r="D50" t="s">
        <v>163</v>
      </c>
      <c r="E50">
        <v>1</v>
      </c>
      <c r="F50">
        <v>4.7699999999999996</v>
      </c>
      <c r="G50">
        <v>0</v>
      </c>
      <c r="H50">
        <v>0</v>
      </c>
      <c r="I50">
        <v>0</v>
      </c>
      <c r="J50">
        <v>4.7699999999999996</v>
      </c>
      <c r="K50">
        <v>0.48</v>
      </c>
      <c r="L50">
        <v>5.25</v>
      </c>
      <c r="M50">
        <v>1</v>
      </c>
    </row>
    <row r="51" spans="1:13" x14ac:dyDescent="0.2">
      <c r="A51" t="s">
        <v>1215</v>
      </c>
      <c r="B51" t="s">
        <v>14</v>
      </c>
      <c r="C51">
        <v>9356892000149</v>
      </c>
      <c r="D51" t="s">
        <v>163</v>
      </c>
      <c r="E51">
        <v>1</v>
      </c>
      <c r="F51">
        <v>13.08</v>
      </c>
      <c r="G51">
        <v>0</v>
      </c>
      <c r="H51">
        <v>0</v>
      </c>
      <c r="I51">
        <v>0</v>
      </c>
      <c r="J51">
        <v>13.08</v>
      </c>
      <c r="K51">
        <v>1.32</v>
      </c>
      <c r="L51">
        <v>14.4</v>
      </c>
      <c r="M51">
        <v>1</v>
      </c>
    </row>
    <row r="52" spans="1:13" x14ac:dyDescent="0.2">
      <c r="A52" t="s">
        <v>1214</v>
      </c>
      <c r="B52" t="s">
        <v>14</v>
      </c>
      <c r="C52">
        <v>9421038080115</v>
      </c>
      <c r="D52" t="s">
        <v>163</v>
      </c>
      <c r="E52">
        <v>1</v>
      </c>
      <c r="F52">
        <v>7.67</v>
      </c>
      <c r="G52">
        <v>0</v>
      </c>
      <c r="H52">
        <v>0</v>
      </c>
      <c r="I52">
        <v>0</v>
      </c>
      <c r="J52">
        <v>7.67</v>
      </c>
      <c r="K52">
        <v>0.78</v>
      </c>
      <c r="L52">
        <v>8.4499999999999993</v>
      </c>
      <c r="M52">
        <v>1</v>
      </c>
    </row>
    <row r="53" spans="1:13" x14ac:dyDescent="0.2">
      <c r="A53" t="s">
        <v>888</v>
      </c>
      <c r="B53" t="s">
        <v>14</v>
      </c>
      <c r="C53">
        <v>9421038080092</v>
      </c>
      <c r="D53" t="s">
        <v>163</v>
      </c>
      <c r="E53">
        <v>1</v>
      </c>
      <c r="F53">
        <v>14.67</v>
      </c>
      <c r="G53">
        <v>0</v>
      </c>
      <c r="H53">
        <v>0</v>
      </c>
      <c r="I53">
        <v>-2.35</v>
      </c>
      <c r="J53">
        <v>12.32</v>
      </c>
      <c r="K53">
        <v>1.23</v>
      </c>
      <c r="L53">
        <v>13.55</v>
      </c>
      <c r="M53">
        <v>1</v>
      </c>
    </row>
    <row r="54" spans="1:13" x14ac:dyDescent="0.2">
      <c r="A54" t="s">
        <v>887</v>
      </c>
      <c r="B54" t="s">
        <v>14</v>
      </c>
      <c r="C54">
        <v>9317222001342</v>
      </c>
      <c r="D54" t="s">
        <v>163</v>
      </c>
      <c r="E54">
        <v>1</v>
      </c>
      <c r="F54">
        <v>13.17</v>
      </c>
      <c r="G54">
        <v>0</v>
      </c>
      <c r="H54">
        <v>0</v>
      </c>
      <c r="I54">
        <v>0</v>
      </c>
      <c r="J54">
        <v>13.17</v>
      </c>
      <c r="K54">
        <v>1.33</v>
      </c>
      <c r="L54">
        <v>14.5</v>
      </c>
      <c r="M54">
        <v>1</v>
      </c>
    </row>
    <row r="55" spans="1:13" x14ac:dyDescent="0.2">
      <c r="A55" t="s">
        <v>1213</v>
      </c>
      <c r="B55" t="s">
        <v>14</v>
      </c>
      <c r="C55">
        <v>9317222001427</v>
      </c>
      <c r="D55" t="s">
        <v>163</v>
      </c>
      <c r="E55">
        <v>1</v>
      </c>
      <c r="F55">
        <v>13.17</v>
      </c>
      <c r="G55">
        <v>0</v>
      </c>
      <c r="H55">
        <v>0</v>
      </c>
      <c r="I55">
        <v>0</v>
      </c>
      <c r="J55">
        <v>13.17</v>
      </c>
      <c r="K55">
        <v>1.33</v>
      </c>
      <c r="L55">
        <v>14.5</v>
      </c>
      <c r="M55">
        <v>1</v>
      </c>
    </row>
    <row r="56" spans="1:13" x14ac:dyDescent="0.2">
      <c r="A56" t="s">
        <v>1212</v>
      </c>
      <c r="B56" t="s">
        <v>14</v>
      </c>
      <c r="C56">
        <v>5060391844213</v>
      </c>
      <c r="D56" t="s">
        <v>163</v>
      </c>
      <c r="E56">
        <v>1</v>
      </c>
      <c r="F56">
        <v>12.49</v>
      </c>
      <c r="G56">
        <v>0</v>
      </c>
      <c r="H56">
        <v>0</v>
      </c>
      <c r="I56">
        <v>0</v>
      </c>
      <c r="J56">
        <v>12.49</v>
      </c>
      <c r="K56">
        <v>1.26</v>
      </c>
      <c r="L56">
        <v>13.75</v>
      </c>
      <c r="M56">
        <v>1</v>
      </c>
    </row>
    <row r="57" spans="1:13" x14ac:dyDescent="0.2">
      <c r="A57" t="s">
        <v>1211</v>
      </c>
      <c r="B57" t="s">
        <v>14</v>
      </c>
      <c r="C57">
        <v>806809663831</v>
      </c>
      <c r="D57" t="s">
        <v>163</v>
      </c>
      <c r="E57">
        <v>1</v>
      </c>
      <c r="F57">
        <v>17.8</v>
      </c>
      <c r="G57">
        <v>0</v>
      </c>
      <c r="H57">
        <v>0</v>
      </c>
      <c r="I57">
        <v>0</v>
      </c>
      <c r="J57">
        <v>17.8</v>
      </c>
      <c r="K57">
        <v>0</v>
      </c>
      <c r="L57">
        <v>17.8</v>
      </c>
      <c r="M57">
        <v>1</v>
      </c>
    </row>
    <row r="58" spans="1:13" x14ac:dyDescent="0.2">
      <c r="A58" t="s">
        <v>1210</v>
      </c>
      <c r="B58" t="s">
        <v>14</v>
      </c>
      <c r="C58">
        <v>18787980019</v>
      </c>
      <c r="D58" t="s">
        <v>163</v>
      </c>
      <c r="E58">
        <v>1</v>
      </c>
      <c r="F58">
        <v>25.02</v>
      </c>
      <c r="G58">
        <v>0</v>
      </c>
      <c r="H58">
        <v>0</v>
      </c>
      <c r="I58">
        <v>0</v>
      </c>
      <c r="J58">
        <v>25.02</v>
      </c>
      <c r="K58">
        <v>2.5299999999999998</v>
      </c>
      <c r="L58">
        <v>27.55</v>
      </c>
      <c r="M58">
        <v>1</v>
      </c>
    </row>
    <row r="59" spans="1:13" x14ac:dyDescent="0.2">
      <c r="A59" t="s">
        <v>886</v>
      </c>
      <c r="B59" t="s">
        <v>14</v>
      </c>
      <c r="C59">
        <v>60210133</v>
      </c>
      <c r="D59" t="s">
        <v>163</v>
      </c>
      <c r="E59">
        <v>2</v>
      </c>
      <c r="F59">
        <v>31.19</v>
      </c>
      <c r="G59">
        <v>0</v>
      </c>
      <c r="H59">
        <v>0</v>
      </c>
      <c r="I59">
        <v>-3.4</v>
      </c>
      <c r="J59">
        <v>27.79</v>
      </c>
      <c r="K59">
        <v>2.81</v>
      </c>
      <c r="L59">
        <v>30.6</v>
      </c>
      <c r="M59">
        <v>2</v>
      </c>
    </row>
    <row r="60" spans="1:13" x14ac:dyDescent="0.2">
      <c r="A60" t="s">
        <v>1209</v>
      </c>
      <c r="B60" t="s">
        <v>14</v>
      </c>
      <c r="C60">
        <v>850046443114</v>
      </c>
      <c r="D60" t="s">
        <v>163</v>
      </c>
      <c r="E60">
        <v>1</v>
      </c>
      <c r="F60">
        <v>19.25</v>
      </c>
      <c r="G60">
        <v>0</v>
      </c>
      <c r="H60">
        <v>0</v>
      </c>
      <c r="I60">
        <v>0</v>
      </c>
      <c r="J60">
        <v>19.25</v>
      </c>
      <c r="K60">
        <v>1.95</v>
      </c>
      <c r="L60">
        <v>21.2</v>
      </c>
      <c r="M60">
        <v>1</v>
      </c>
    </row>
    <row r="61" spans="1:13" x14ac:dyDescent="0.2">
      <c r="A61" t="s">
        <v>885</v>
      </c>
      <c r="B61" t="s">
        <v>14</v>
      </c>
      <c r="C61">
        <v>861226000003</v>
      </c>
      <c r="D61" t="s">
        <v>163</v>
      </c>
      <c r="E61">
        <v>1</v>
      </c>
      <c r="F61">
        <v>19.36</v>
      </c>
      <c r="G61">
        <v>0</v>
      </c>
      <c r="H61">
        <v>0</v>
      </c>
      <c r="I61">
        <v>-1.1599999999999999</v>
      </c>
      <c r="J61">
        <v>18.2</v>
      </c>
      <c r="K61">
        <v>1.84</v>
      </c>
      <c r="L61">
        <v>20.04</v>
      </c>
      <c r="M61">
        <v>1</v>
      </c>
    </row>
    <row r="62" spans="1:13" x14ac:dyDescent="0.2">
      <c r="A62" t="s">
        <v>698</v>
      </c>
      <c r="B62" t="s">
        <v>14</v>
      </c>
      <c r="C62">
        <v>9347246003596</v>
      </c>
      <c r="D62" t="s">
        <v>163</v>
      </c>
      <c r="E62">
        <v>1</v>
      </c>
      <c r="F62">
        <v>21.57</v>
      </c>
      <c r="G62">
        <v>0</v>
      </c>
      <c r="H62">
        <v>0</v>
      </c>
      <c r="I62">
        <v>0</v>
      </c>
      <c r="J62">
        <v>21.57</v>
      </c>
      <c r="K62">
        <v>2.1800000000000002</v>
      </c>
      <c r="L62">
        <v>23.75</v>
      </c>
      <c r="M62">
        <v>1</v>
      </c>
    </row>
    <row r="63" spans="1:13" x14ac:dyDescent="0.2">
      <c r="A63" t="s">
        <v>1208</v>
      </c>
      <c r="B63" t="s">
        <v>14</v>
      </c>
      <c r="C63">
        <v>9347246000106</v>
      </c>
      <c r="D63" t="s">
        <v>163</v>
      </c>
      <c r="E63">
        <v>3</v>
      </c>
      <c r="F63">
        <v>56.95</v>
      </c>
      <c r="G63">
        <v>0</v>
      </c>
      <c r="H63">
        <v>0</v>
      </c>
      <c r="I63">
        <v>0</v>
      </c>
      <c r="J63">
        <v>56.95</v>
      </c>
      <c r="K63">
        <v>5.75</v>
      </c>
      <c r="L63">
        <v>62.7</v>
      </c>
      <c r="M63">
        <v>3</v>
      </c>
    </row>
    <row r="64" spans="1:13" x14ac:dyDescent="0.2">
      <c r="A64" t="s">
        <v>884</v>
      </c>
      <c r="B64" t="s">
        <v>14</v>
      </c>
      <c r="C64">
        <v>694536823037</v>
      </c>
      <c r="D64" t="s">
        <v>163</v>
      </c>
      <c r="E64">
        <v>1</v>
      </c>
      <c r="F64">
        <v>46.65</v>
      </c>
      <c r="G64">
        <v>0</v>
      </c>
      <c r="H64">
        <v>0</v>
      </c>
      <c r="I64">
        <v>0</v>
      </c>
      <c r="J64">
        <v>46.65</v>
      </c>
      <c r="K64">
        <v>0</v>
      </c>
      <c r="L64">
        <v>46.65</v>
      </c>
      <c r="M64">
        <v>1</v>
      </c>
    </row>
    <row r="65" spans="1:13" x14ac:dyDescent="0.2">
      <c r="A65" t="s">
        <v>1207</v>
      </c>
      <c r="B65" t="s">
        <v>14</v>
      </c>
      <c r="C65">
        <v>9369998267873</v>
      </c>
      <c r="D65" t="s">
        <v>163</v>
      </c>
      <c r="E65">
        <v>1</v>
      </c>
      <c r="F65">
        <v>69.48</v>
      </c>
      <c r="G65">
        <v>0</v>
      </c>
      <c r="H65">
        <v>0</v>
      </c>
      <c r="I65">
        <v>0</v>
      </c>
      <c r="J65">
        <v>69.48</v>
      </c>
      <c r="K65">
        <v>7.02</v>
      </c>
      <c r="L65">
        <v>76.5</v>
      </c>
      <c r="M65">
        <v>1</v>
      </c>
    </row>
    <row r="66" spans="1:13" x14ac:dyDescent="0.2">
      <c r="A66" t="s">
        <v>1206</v>
      </c>
      <c r="B66" t="s">
        <v>14</v>
      </c>
      <c r="C66">
        <v>9369900010627</v>
      </c>
      <c r="D66" t="s">
        <v>163</v>
      </c>
      <c r="E66">
        <v>1</v>
      </c>
      <c r="F66">
        <v>55.35</v>
      </c>
      <c r="G66">
        <v>0</v>
      </c>
      <c r="H66">
        <v>0</v>
      </c>
      <c r="I66">
        <v>0</v>
      </c>
      <c r="J66">
        <v>55.35</v>
      </c>
      <c r="K66">
        <v>5.6</v>
      </c>
      <c r="L66">
        <v>60.95</v>
      </c>
      <c r="M66">
        <v>1</v>
      </c>
    </row>
    <row r="67" spans="1:13" x14ac:dyDescent="0.2">
      <c r="A67" t="s">
        <v>1205</v>
      </c>
      <c r="B67" t="s">
        <v>14</v>
      </c>
      <c r="C67">
        <v>9369998064557</v>
      </c>
      <c r="D67" t="s">
        <v>163</v>
      </c>
      <c r="E67">
        <v>1</v>
      </c>
      <c r="F67">
        <v>88</v>
      </c>
      <c r="G67">
        <v>-1</v>
      </c>
      <c r="H67">
        <v>-88</v>
      </c>
      <c r="I67">
        <v>0</v>
      </c>
      <c r="J67">
        <v>0</v>
      </c>
      <c r="K67">
        <v>0</v>
      </c>
      <c r="L67">
        <v>0</v>
      </c>
      <c r="M67">
        <v>1</v>
      </c>
    </row>
    <row r="68" spans="1:13" x14ac:dyDescent="0.2">
      <c r="A68" t="s">
        <v>1204</v>
      </c>
      <c r="B68" t="s">
        <v>14</v>
      </c>
      <c r="C68">
        <v>5029354002930</v>
      </c>
      <c r="D68" t="s">
        <v>163</v>
      </c>
      <c r="E68">
        <v>1</v>
      </c>
      <c r="F68">
        <v>12.49</v>
      </c>
      <c r="G68">
        <v>0</v>
      </c>
      <c r="H68">
        <v>0</v>
      </c>
      <c r="I68">
        <v>0</v>
      </c>
      <c r="J68">
        <v>12.49</v>
      </c>
      <c r="K68">
        <v>1.26</v>
      </c>
      <c r="L68">
        <v>13.75</v>
      </c>
      <c r="M68">
        <v>1</v>
      </c>
    </row>
    <row r="69" spans="1:13" x14ac:dyDescent="0.2">
      <c r="A69" t="s">
        <v>1203</v>
      </c>
      <c r="B69" t="s">
        <v>14</v>
      </c>
      <c r="C69">
        <v>5029354012588</v>
      </c>
      <c r="D69" t="s">
        <v>163</v>
      </c>
      <c r="E69">
        <v>1</v>
      </c>
      <c r="F69">
        <v>12.49</v>
      </c>
      <c r="G69">
        <v>0</v>
      </c>
      <c r="H69">
        <v>0</v>
      </c>
      <c r="I69">
        <v>0</v>
      </c>
      <c r="J69">
        <v>12.49</v>
      </c>
      <c r="K69">
        <v>1.26</v>
      </c>
      <c r="L69">
        <v>13.75</v>
      </c>
      <c r="M69">
        <v>1</v>
      </c>
    </row>
  </sheetData>
  <pageMargins left="0.7" right="0.7" top="0.75" bottom="0.75" header="0.3" footer="0.3"/>
  <pageSetup paperSize="9" orientation="portrait" horizontalDpi="0" verticalDpi="0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84727F-0F20-CD4D-8AEE-BABDDB3C049F}">
  <sheetPr>
    <pageSetUpPr fitToPage="1"/>
  </sheetPr>
  <dimension ref="A1:I84"/>
  <sheetViews>
    <sheetView showGridLines="0" tabSelected="1" zoomScale="109" workbookViewId="0">
      <selection activeCell="A2" sqref="A2"/>
    </sheetView>
  </sheetViews>
  <sheetFormatPr baseColWidth="10" defaultRowHeight="16" x14ac:dyDescent="0.2"/>
  <cols>
    <col min="1" max="1" width="34.33203125" bestFit="1" customWidth="1"/>
    <col min="2" max="2" width="7.83203125" customWidth="1"/>
    <col min="3" max="3" width="9.5" style="6" customWidth="1"/>
    <col min="4" max="4" width="20.1640625" customWidth="1"/>
    <col min="5" max="5" width="37.5" customWidth="1"/>
    <col min="6" max="6" width="9" customWidth="1"/>
    <col min="7" max="7" width="9.5" customWidth="1"/>
    <col min="8" max="8" width="9.5" hidden="1" customWidth="1"/>
    <col min="9" max="9" width="8.33203125" style="15" bestFit="1" customWidth="1"/>
  </cols>
  <sheetData>
    <row r="1" spans="1:9" x14ac:dyDescent="0.2">
      <c r="A1" t="s">
        <v>1364</v>
      </c>
      <c r="D1" s="11"/>
    </row>
    <row r="3" spans="1:9" x14ac:dyDescent="0.2">
      <c r="A3" s="2" t="s">
        <v>271</v>
      </c>
      <c r="B3" t="s">
        <v>273</v>
      </c>
      <c r="C3" s="12" t="s">
        <v>274</v>
      </c>
      <c r="E3" s="2" t="s">
        <v>271</v>
      </c>
      <c r="F3" t="s">
        <v>273</v>
      </c>
      <c r="G3" t="s">
        <v>274</v>
      </c>
      <c r="H3" t="s">
        <v>278</v>
      </c>
      <c r="I3" s="15" t="s">
        <v>279</v>
      </c>
    </row>
    <row r="4" spans="1:9" x14ac:dyDescent="0.2">
      <c r="A4" s="16" t="s">
        <v>188</v>
      </c>
      <c r="B4" s="27">
        <v>80</v>
      </c>
      <c r="C4" s="17">
        <v>2559.5900000000006</v>
      </c>
      <c r="D4" s="11"/>
      <c r="E4" s="16" t="s">
        <v>36</v>
      </c>
      <c r="F4" s="27">
        <v>402</v>
      </c>
      <c r="G4" s="19">
        <v>2778.6600000000003</v>
      </c>
      <c r="H4">
        <v>292</v>
      </c>
    </row>
    <row r="5" spans="1:9" x14ac:dyDescent="0.2">
      <c r="A5" s="16" t="s">
        <v>74</v>
      </c>
      <c r="B5" s="27">
        <v>182</v>
      </c>
      <c r="C5" s="17">
        <v>2100.2600000000002</v>
      </c>
      <c r="D5" s="11" t="s">
        <v>1360</v>
      </c>
      <c r="E5" s="20" t="s">
        <v>49</v>
      </c>
      <c r="F5" s="27">
        <v>148</v>
      </c>
      <c r="G5" s="19">
        <v>1053.21</v>
      </c>
      <c r="I5" s="15">
        <f>86/7</f>
        <v>12.285714285714286</v>
      </c>
    </row>
    <row r="6" spans="1:9" x14ac:dyDescent="0.2">
      <c r="A6" s="16" t="s">
        <v>101</v>
      </c>
      <c r="B6" s="27">
        <v>380</v>
      </c>
      <c r="C6" s="17">
        <v>2044.2400000000007</v>
      </c>
      <c r="D6" s="11"/>
      <c r="E6" s="20" t="s">
        <v>35</v>
      </c>
      <c r="F6" s="27">
        <v>141</v>
      </c>
      <c r="G6" s="19">
        <v>752.7</v>
      </c>
      <c r="I6" s="15">
        <f>120/7</f>
        <v>17.142857142857142</v>
      </c>
    </row>
    <row r="7" spans="1:9" x14ac:dyDescent="0.2">
      <c r="A7" s="16" t="s">
        <v>163</v>
      </c>
      <c r="B7" s="27">
        <v>82</v>
      </c>
      <c r="C7" s="17">
        <v>1550.4699999999998</v>
      </c>
      <c r="E7" s="20" t="s">
        <v>54</v>
      </c>
      <c r="F7" s="27">
        <v>68</v>
      </c>
      <c r="G7" s="19">
        <v>424.39</v>
      </c>
    </row>
    <row r="8" spans="1:9" x14ac:dyDescent="0.2">
      <c r="A8" s="16" t="s">
        <v>98</v>
      </c>
      <c r="B8" s="27">
        <v>92</v>
      </c>
      <c r="C8" s="17">
        <v>1165.6499999999996</v>
      </c>
      <c r="D8" s="11"/>
      <c r="E8" s="22" t="s">
        <v>413</v>
      </c>
      <c r="F8" s="28">
        <v>23</v>
      </c>
      <c r="G8" s="23">
        <v>311.58</v>
      </c>
    </row>
    <row r="9" spans="1:9" x14ac:dyDescent="0.2">
      <c r="A9" s="16" t="s">
        <v>18</v>
      </c>
      <c r="B9" s="27">
        <v>87</v>
      </c>
      <c r="C9" s="17">
        <v>1077.8399999999999</v>
      </c>
      <c r="D9" s="11" t="s">
        <v>1362</v>
      </c>
      <c r="E9" s="21" t="s">
        <v>412</v>
      </c>
      <c r="F9" s="26">
        <v>14</v>
      </c>
      <c r="G9" s="14">
        <v>200.46</v>
      </c>
    </row>
    <row r="10" spans="1:9" x14ac:dyDescent="0.2">
      <c r="A10" s="16" t="s">
        <v>95</v>
      </c>
      <c r="B10" s="27">
        <v>102</v>
      </c>
      <c r="C10" s="17">
        <v>1035.22</v>
      </c>
      <c r="E10" s="20" t="s">
        <v>63</v>
      </c>
      <c r="F10" s="27">
        <v>8</v>
      </c>
      <c r="G10" s="19">
        <v>36.32</v>
      </c>
    </row>
    <row r="11" spans="1:9" x14ac:dyDescent="0.2">
      <c r="A11" s="16" t="s">
        <v>168</v>
      </c>
      <c r="B11" s="27">
        <v>60</v>
      </c>
      <c r="C11" s="17">
        <v>1030.74</v>
      </c>
      <c r="E11" s="16" t="s">
        <v>173</v>
      </c>
      <c r="F11" s="27">
        <v>87</v>
      </c>
      <c r="G11" s="19">
        <v>1263.2400000000002</v>
      </c>
      <c r="H11">
        <v>64</v>
      </c>
    </row>
    <row r="12" spans="1:9" x14ac:dyDescent="0.2">
      <c r="A12" s="16" t="s">
        <v>116</v>
      </c>
      <c r="B12" s="27">
        <v>152</v>
      </c>
      <c r="C12" s="17">
        <v>954.72999999999979</v>
      </c>
      <c r="D12" s="25"/>
      <c r="E12" s="20" t="s">
        <v>174</v>
      </c>
      <c r="F12" s="27">
        <v>18</v>
      </c>
      <c r="G12" s="19">
        <v>251.97</v>
      </c>
      <c r="I12" s="15">
        <f>6</f>
        <v>6</v>
      </c>
    </row>
    <row r="13" spans="1:9" x14ac:dyDescent="0.2">
      <c r="A13" s="16" t="s">
        <v>128</v>
      </c>
      <c r="B13" s="27">
        <v>48</v>
      </c>
      <c r="C13" s="17">
        <v>903.12</v>
      </c>
      <c r="D13" s="25"/>
      <c r="E13" s="20" t="s">
        <v>171</v>
      </c>
      <c r="F13" s="27">
        <v>16</v>
      </c>
      <c r="G13" s="19">
        <v>241.09</v>
      </c>
    </row>
    <row r="14" spans="1:9" x14ac:dyDescent="0.2">
      <c r="A14" s="16" t="s">
        <v>125</v>
      </c>
      <c r="B14" s="27">
        <v>99</v>
      </c>
      <c r="C14" s="17">
        <v>883.07999999999993</v>
      </c>
      <c r="D14" s="11"/>
      <c r="E14" s="20" t="s">
        <v>176</v>
      </c>
      <c r="F14" s="27">
        <v>15</v>
      </c>
      <c r="G14" s="19">
        <v>227.62</v>
      </c>
    </row>
    <row r="15" spans="1:9" x14ac:dyDescent="0.2">
      <c r="A15" s="16" t="s">
        <v>154</v>
      </c>
      <c r="B15" s="27">
        <v>58</v>
      </c>
      <c r="C15" s="17">
        <v>800.47000000000014</v>
      </c>
      <c r="D15" s="11"/>
      <c r="E15" s="20" t="s">
        <v>182</v>
      </c>
      <c r="F15" s="27">
        <v>10</v>
      </c>
      <c r="G15" s="19">
        <v>146.41</v>
      </c>
    </row>
    <row r="16" spans="1:9" x14ac:dyDescent="0.2">
      <c r="A16" s="16" t="s">
        <v>149</v>
      </c>
      <c r="B16" s="27">
        <v>105</v>
      </c>
      <c r="C16" s="17">
        <v>759.2600000000001</v>
      </c>
      <c r="D16" s="25"/>
      <c r="E16" s="20" t="s">
        <v>355</v>
      </c>
      <c r="F16" s="27">
        <v>10</v>
      </c>
      <c r="G16" s="19">
        <v>143.13999999999999</v>
      </c>
    </row>
    <row r="17" spans="1:9" x14ac:dyDescent="0.2">
      <c r="A17" s="16" t="s">
        <v>229</v>
      </c>
      <c r="B17" s="27">
        <v>82</v>
      </c>
      <c r="C17" s="17">
        <v>631.80999999999995</v>
      </c>
      <c r="D17" s="11"/>
      <c r="E17" s="20" t="s">
        <v>178</v>
      </c>
      <c r="F17" s="27">
        <v>8</v>
      </c>
      <c r="G17" s="19">
        <v>120.25</v>
      </c>
    </row>
    <row r="18" spans="1:9" x14ac:dyDescent="0.2">
      <c r="A18" s="16" t="s">
        <v>187</v>
      </c>
      <c r="B18" s="27">
        <v>27</v>
      </c>
      <c r="C18" s="17">
        <v>625.44000000000017</v>
      </c>
      <c r="D18" s="11"/>
      <c r="E18" s="21" t="s">
        <v>434</v>
      </c>
      <c r="F18" s="26">
        <v>6</v>
      </c>
      <c r="G18" s="14">
        <v>70.760000000000005</v>
      </c>
    </row>
    <row r="19" spans="1:9" x14ac:dyDescent="0.2">
      <c r="A19" s="16" t="s">
        <v>238</v>
      </c>
      <c r="B19" s="27">
        <v>124</v>
      </c>
      <c r="C19" s="17">
        <v>580.12</v>
      </c>
      <c r="E19" s="20" t="s">
        <v>180</v>
      </c>
      <c r="F19" s="27">
        <v>4</v>
      </c>
      <c r="G19" s="19">
        <v>62</v>
      </c>
    </row>
    <row r="20" spans="1:9" x14ac:dyDescent="0.2">
      <c r="A20" s="16" t="s">
        <v>115</v>
      </c>
      <c r="B20" s="27">
        <v>34</v>
      </c>
      <c r="C20" s="17">
        <v>577.52</v>
      </c>
      <c r="E20" s="16" t="s">
        <v>185</v>
      </c>
      <c r="F20" s="27">
        <v>10</v>
      </c>
      <c r="G20" s="19">
        <v>121.91</v>
      </c>
    </row>
    <row r="21" spans="1:9" x14ac:dyDescent="0.2">
      <c r="A21" s="16" t="s">
        <v>63</v>
      </c>
      <c r="B21" s="27">
        <v>48</v>
      </c>
      <c r="C21" s="17">
        <v>538.30999999999995</v>
      </c>
      <c r="E21" s="20" t="s">
        <v>184</v>
      </c>
      <c r="F21" s="27">
        <v>10</v>
      </c>
      <c r="G21" s="19">
        <v>121.91</v>
      </c>
    </row>
    <row r="22" spans="1:9" x14ac:dyDescent="0.2">
      <c r="A22" s="16" t="s">
        <v>97</v>
      </c>
      <c r="B22" s="27">
        <v>40</v>
      </c>
      <c r="C22" s="17">
        <v>488.55</v>
      </c>
      <c r="E22" s="16" t="s">
        <v>192</v>
      </c>
      <c r="F22" s="27">
        <v>263</v>
      </c>
      <c r="G22" s="19">
        <v>1738.8000000000002</v>
      </c>
    </row>
    <row r="23" spans="1:9" x14ac:dyDescent="0.2">
      <c r="A23" s="16" t="s">
        <v>132</v>
      </c>
      <c r="B23" s="27">
        <v>94</v>
      </c>
      <c r="C23" s="17">
        <v>436.50999999999993</v>
      </c>
      <c r="E23" s="20" t="s">
        <v>189</v>
      </c>
      <c r="F23" s="27">
        <v>116</v>
      </c>
      <c r="G23" s="19">
        <v>812.56000000000006</v>
      </c>
      <c r="H23">
        <v>346</v>
      </c>
    </row>
    <row r="24" spans="1:9" x14ac:dyDescent="0.2">
      <c r="A24" s="16" t="s">
        <v>65</v>
      </c>
      <c r="B24" s="27">
        <v>75</v>
      </c>
      <c r="C24" s="17">
        <v>424.42000000000013</v>
      </c>
      <c r="D24" s="24" t="s">
        <v>1358</v>
      </c>
      <c r="E24" s="20" t="s">
        <v>198</v>
      </c>
      <c r="F24" s="27">
        <v>74</v>
      </c>
      <c r="G24" s="19">
        <v>470.28</v>
      </c>
      <c r="I24" s="11"/>
    </row>
    <row r="25" spans="1:9" x14ac:dyDescent="0.2">
      <c r="A25" s="16" t="s">
        <v>31</v>
      </c>
      <c r="B25" s="27">
        <v>23</v>
      </c>
      <c r="C25" s="17">
        <v>403.65999999999997</v>
      </c>
      <c r="E25" s="20" t="s">
        <v>216</v>
      </c>
      <c r="F25" s="27">
        <v>73</v>
      </c>
      <c r="G25" s="19">
        <v>455.96000000000004</v>
      </c>
    </row>
    <row r="26" spans="1:9" x14ac:dyDescent="0.2">
      <c r="A26" s="16" t="s">
        <v>162</v>
      </c>
      <c r="B26" s="27">
        <v>52</v>
      </c>
      <c r="C26" s="17">
        <v>385</v>
      </c>
      <c r="E26" s="16" t="s">
        <v>259</v>
      </c>
      <c r="F26" s="27">
        <v>148</v>
      </c>
      <c r="G26" s="19">
        <v>2117.86</v>
      </c>
    </row>
    <row r="27" spans="1:9" x14ac:dyDescent="0.2">
      <c r="A27" s="16" t="s">
        <v>71</v>
      </c>
      <c r="B27" s="27">
        <v>44</v>
      </c>
      <c r="C27" s="17">
        <v>383.87</v>
      </c>
      <c r="D27" s="11"/>
      <c r="E27" s="20" t="s">
        <v>270</v>
      </c>
      <c r="F27" s="27">
        <v>32</v>
      </c>
      <c r="G27" s="19">
        <v>472.28</v>
      </c>
      <c r="H27">
        <v>99</v>
      </c>
    </row>
    <row r="28" spans="1:9" x14ac:dyDescent="0.2">
      <c r="A28" s="16" t="s">
        <v>100</v>
      </c>
      <c r="B28" s="27">
        <v>31</v>
      </c>
      <c r="C28" s="17">
        <v>383.63000000000005</v>
      </c>
      <c r="E28" s="20" t="s">
        <v>265</v>
      </c>
      <c r="F28" s="27">
        <v>18</v>
      </c>
      <c r="G28" s="19">
        <v>339.68</v>
      </c>
    </row>
    <row r="29" spans="1:9" x14ac:dyDescent="0.2">
      <c r="A29" s="16" t="s">
        <v>33</v>
      </c>
      <c r="B29" s="27">
        <v>15</v>
      </c>
      <c r="C29" s="17">
        <v>360.24999999999994</v>
      </c>
      <c r="E29" s="20" t="s">
        <v>262</v>
      </c>
      <c r="F29" s="27">
        <v>16</v>
      </c>
      <c r="G29" s="19">
        <v>202.01</v>
      </c>
    </row>
    <row r="30" spans="1:9" x14ac:dyDescent="0.2">
      <c r="A30" s="16" t="s">
        <v>153</v>
      </c>
      <c r="B30" s="27">
        <v>9</v>
      </c>
      <c r="C30" s="17">
        <v>317.40000000000003</v>
      </c>
      <c r="E30" s="20" t="s">
        <v>266</v>
      </c>
      <c r="F30" s="27">
        <v>10</v>
      </c>
      <c r="G30" s="19">
        <v>176.2</v>
      </c>
    </row>
    <row r="31" spans="1:9" x14ac:dyDescent="0.2">
      <c r="A31" s="16" t="s">
        <v>159</v>
      </c>
      <c r="B31" s="27">
        <v>16</v>
      </c>
      <c r="C31" s="17">
        <v>308.35000000000002</v>
      </c>
      <c r="E31" s="20" t="s">
        <v>268</v>
      </c>
      <c r="F31" s="27">
        <v>14</v>
      </c>
      <c r="G31" s="19">
        <v>169.07</v>
      </c>
    </row>
    <row r="32" spans="1:9" x14ac:dyDescent="0.2">
      <c r="A32" s="16" t="s">
        <v>131</v>
      </c>
      <c r="B32" s="27">
        <v>16</v>
      </c>
      <c r="C32" s="17">
        <v>290.77999999999992</v>
      </c>
      <c r="E32" s="20" t="s">
        <v>257</v>
      </c>
      <c r="F32" s="27">
        <v>10</v>
      </c>
      <c r="G32" s="19">
        <v>163.49</v>
      </c>
    </row>
    <row r="33" spans="1:7" x14ac:dyDescent="0.2">
      <c r="A33" s="16" t="s">
        <v>16</v>
      </c>
      <c r="B33" s="27">
        <v>43</v>
      </c>
      <c r="C33" s="17">
        <v>269.77</v>
      </c>
      <c r="E33" s="20" t="s">
        <v>260</v>
      </c>
      <c r="F33" s="27">
        <v>8</v>
      </c>
      <c r="G33" s="19">
        <v>159.86000000000001</v>
      </c>
    </row>
    <row r="34" spans="1:7" x14ac:dyDescent="0.2">
      <c r="A34" s="16" t="s">
        <v>94</v>
      </c>
      <c r="B34" s="27">
        <v>42</v>
      </c>
      <c r="C34" s="17">
        <v>267.96000000000004</v>
      </c>
      <c r="E34" s="20" t="s">
        <v>263</v>
      </c>
      <c r="F34" s="27">
        <v>10</v>
      </c>
      <c r="G34" s="19">
        <v>113.51</v>
      </c>
    </row>
    <row r="35" spans="1:7" x14ac:dyDescent="0.2">
      <c r="A35" s="16" t="s">
        <v>148</v>
      </c>
      <c r="B35" s="27">
        <v>21</v>
      </c>
      <c r="C35" s="17">
        <v>266.52</v>
      </c>
      <c r="E35" s="20" t="s">
        <v>322</v>
      </c>
      <c r="F35" s="27">
        <v>7</v>
      </c>
      <c r="G35" s="19">
        <v>113.02</v>
      </c>
    </row>
    <row r="36" spans="1:7" x14ac:dyDescent="0.2">
      <c r="A36" s="16" t="s">
        <v>126</v>
      </c>
      <c r="B36" s="27">
        <v>18</v>
      </c>
      <c r="C36" s="17">
        <v>248.04999999999995</v>
      </c>
      <c r="E36" s="20" t="s">
        <v>401</v>
      </c>
      <c r="F36" s="27">
        <v>11</v>
      </c>
      <c r="G36" s="19">
        <v>112.48</v>
      </c>
    </row>
    <row r="37" spans="1:7" x14ac:dyDescent="0.2">
      <c r="A37" s="16" t="s">
        <v>146</v>
      </c>
      <c r="B37" s="27">
        <v>29</v>
      </c>
      <c r="C37" s="17">
        <v>246.79000000000002</v>
      </c>
      <c r="E37" s="20" t="s">
        <v>403</v>
      </c>
      <c r="F37" s="27">
        <v>12</v>
      </c>
      <c r="G37" s="19">
        <v>96.26</v>
      </c>
    </row>
    <row r="38" spans="1:7" x14ac:dyDescent="0.2">
      <c r="A38" s="16" t="s">
        <v>228</v>
      </c>
      <c r="B38" s="27">
        <v>27</v>
      </c>
      <c r="C38" s="17">
        <v>183.68</v>
      </c>
      <c r="E38" s="3" t="s">
        <v>272</v>
      </c>
      <c r="F38" s="26">
        <v>910</v>
      </c>
      <c r="G38" s="14">
        <v>8020.47</v>
      </c>
    </row>
    <row r="39" spans="1:7" x14ac:dyDescent="0.2">
      <c r="A39" s="16" t="s">
        <v>164</v>
      </c>
      <c r="B39" s="27">
        <v>21</v>
      </c>
      <c r="C39" s="17">
        <v>177.68</v>
      </c>
    </row>
    <row r="40" spans="1:7" x14ac:dyDescent="0.2">
      <c r="A40" s="16" t="s">
        <v>145</v>
      </c>
      <c r="B40" s="27">
        <v>22</v>
      </c>
      <c r="C40" s="17">
        <v>167.34</v>
      </c>
    </row>
    <row r="41" spans="1:7" x14ac:dyDescent="0.2">
      <c r="A41" s="16" t="s">
        <v>165</v>
      </c>
      <c r="B41" s="27">
        <v>26</v>
      </c>
      <c r="C41" s="17">
        <v>165.24</v>
      </c>
    </row>
    <row r="42" spans="1:7" x14ac:dyDescent="0.2">
      <c r="A42" s="16" t="s">
        <v>565</v>
      </c>
      <c r="B42" s="27">
        <v>4</v>
      </c>
      <c r="C42" s="17">
        <v>159.32</v>
      </c>
    </row>
    <row r="43" spans="1:7" x14ac:dyDescent="0.2">
      <c r="A43" s="16" t="s">
        <v>567</v>
      </c>
      <c r="B43" s="27">
        <v>12</v>
      </c>
      <c r="C43" s="17">
        <v>155.72</v>
      </c>
    </row>
    <row r="44" spans="1:7" x14ac:dyDescent="0.2">
      <c r="A44" s="16" t="s">
        <v>90</v>
      </c>
      <c r="B44" s="27">
        <v>23</v>
      </c>
      <c r="C44" s="17">
        <v>144.57999999999998</v>
      </c>
    </row>
    <row r="45" spans="1:7" x14ac:dyDescent="0.2">
      <c r="A45" s="16" t="s">
        <v>91</v>
      </c>
      <c r="B45" s="27">
        <v>11</v>
      </c>
      <c r="C45" s="17">
        <v>118.95</v>
      </c>
    </row>
    <row r="46" spans="1:7" x14ac:dyDescent="0.2">
      <c r="A46" s="16" t="s">
        <v>170</v>
      </c>
      <c r="B46" s="27">
        <v>15</v>
      </c>
      <c r="C46" s="17">
        <v>113.15</v>
      </c>
    </row>
    <row r="47" spans="1:7" x14ac:dyDescent="0.2">
      <c r="A47" s="16" t="s">
        <v>152</v>
      </c>
      <c r="B47" s="27">
        <v>11</v>
      </c>
      <c r="C47" s="17">
        <v>104</v>
      </c>
    </row>
    <row r="48" spans="1:7" x14ac:dyDescent="0.2">
      <c r="A48" s="16" t="s">
        <v>186</v>
      </c>
      <c r="B48" s="27">
        <v>7</v>
      </c>
      <c r="C48" s="17">
        <v>94.77</v>
      </c>
    </row>
    <row r="49" spans="1:4" x14ac:dyDescent="0.2">
      <c r="A49" s="16" t="s">
        <v>161</v>
      </c>
      <c r="B49" s="27">
        <v>13</v>
      </c>
      <c r="C49" s="17">
        <v>74.94</v>
      </c>
    </row>
    <row r="50" spans="1:4" x14ac:dyDescent="0.2">
      <c r="A50" s="16" t="s">
        <v>1091</v>
      </c>
      <c r="B50" s="27">
        <v>1</v>
      </c>
      <c r="C50" s="17">
        <v>58.98</v>
      </c>
    </row>
    <row r="51" spans="1:4" x14ac:dyDescent="0.2">
      <c r="A51" s="16" t="s">
        <v>13</v>
      </c>
      <c r="B51" s="27">
        <v>16</v>
      </c>
      <c r="C51" s="17">
        <v>51.64</v>
      </c>
    </row>
    <row r="52" spans="1:4" x14ac:dyDescent="0.2">
      <c r="A52" s="16" t="s">
        <v>290</v>
      </c>
      <c r="B52" s="27">
        <v>2</v>
      </c>
      <c r="C52" s="17">
        <v>46.95</v>
      </c>
    </row>
    <row r="53" spans="1:4" x14ac:dyDescent="0.2">
      <c r="A53" s="16" t="s">
        <v>147</v>
      </c>
      <c r="B53" s="27">
        <v>4</v>
      </c>
      <c r="C53" s="17">
        <v>35.29</v>
      </c>
    </row>
    <row r="54" spans="1:4" x14ac:dyDescent="0.2">
      <c r="A54" s="16" t="s">
        <v>93</v>
      </c>
      <c r="B54" s="27">
        <v>4</v>
      </c>
      <c r="C54" s="17">
        <v>33.800000000000004</v>
      </c>
    </row>
    <row r="55" spans="1:4" x14ac:dyDescent="0.2">
      <c r="A55" s="16" t="s">
        <v>34</v>
      </c>
      <c r="B55" s="27">
        <v>2</v>
      </c>
      <c r="C55" s="17">
        <v>28.39</v>
      </c>
    </row>
    <row r="56" spans="1:4" x14ac:dyDescent="0.2">
      <c r="A56" s="16" t="s">
        <v>160</v>
      </c>
      <c r="B56" s="27">
        <v>42</v>
      </c>
      <c r="C56" s="17">
        <v>18.75</v>
      </c>
    </row>
    <row r="57" spans="1:4" x14ac:dyDescent="0.2">
      <c r="A57" s="16" t="s">
        <v>614</v>
      </c>
      <c r="B57" s="27">
        <v>1</v>
      </c>
      <c r="C57" s="17">
        <v>13.1</v>
      </c>
    </row>
    <row r="58" spans="1:4" x14ac:dyDescent="0.2">
      <c r="A58" s="16" t="s">
        <v>127</v>
      </c>
      <c r="B58" s="27">
        <v>4</v>
      </c>
      <c r="C58" s="17">
        <v>11.5</v>
      </c>
    </row>
    <row r="59" spans="1:4" x14ac:dyDescent="0.2">
      <c r="A59" s="3" t="s">
        <v>272</v>
      </c>
      <c r="B59" s="26">
        <v>2678</v>
      </c>
      <c r="C59" s="12">
        <v>27257.150000000009</v>
      </c>
    </row>
    <row r="60" spans="1:4" ht="17" thickBot="1" x14ac:dyDescent="0.25"/>
    <row r="61" spans="1:4" ht="17" thickBot="1" x14ac:dyDescent="0.25">
      <c r="A61" s="3" t="s">
        <v>275</v>
      </c>
      <c r="C61" s="13">
        <f>C62+C63</f>
        <v>35277</v>
      </c>
      <c r="D61" s="10" t="s">
        <v>291</v>
      </c>
    </row>
    <row r="62" spans="1:4" x14ac:dyDescent="0.2">
      <c r="A62" s="3" t="s">
        <v>276</v>
      </c>
      <c r="C62" s="6">
        <v>8020</v>
      </c>
      <c r="D62" s="8">
        <f>C62/C61</f>
        <v>0.22734359497689713</v>
      </c>
    </row>
    <row r="63" spans="1:4" x14ac:dyDescent="0.2">
      <c r="A63" s="3" t="s">
        <v>277</v>
      </c>
      <c r="C63" s="6">
        <v>27257</v>
      </c>
      <c r="D63" s="8">
        <f>C63/C61</f>
        <v>0.77265640502310284</v>
      </c>
    </row>
    <row r="65" spans="1:7" ht="17" thickBot="1" x14ac:dyDescent="0.25">
      <c r="A65" s="9" t="s">
        <v>364</v>
      </c>
    </row>
    <row r="66" spans="1:7" ht="17" thickBot="1" x14ac:dyDescent="0.25">
      <c r="A66" s="3" t="s">
        <v>275</v>
      </c>
      <c r="C66" s="13">
        <f>C67+C68</f>
        <v>31599</v>
      </c>
    </row>
    <row r="67" spans="1:7" x14ac:dyDescent="0.2">
      <c r="A67" s="3" t="s">
        <v>276</v>
      </c>
      <c r="C67" s="6">
        <v>7602</v>
      </c>
    </row>
    <row r="68" spans="1:7" x14ac:dyDescent="0.2">
      <c r="A68" s="3" t="s">
        <v>277</v>
      </c>
      <c r="C68" s="6">
        <v>23997</v>
      </c>
    </row>
    <row r="70" spans="1:7" x14ac:dyDescent="0.2">
      <c r="A70" s="9" t="s">
        <v>292</v>
      </c>
      <c r="C70" s="7"/>
    </row>
    <row r="71" spans="1:7" x14ac:dyDescent="0.2">
      <c r="A71" s="3" t="s">
        <v>275</v>
      </c>
      <c r="C71" s="5">
        <f>(C61-C66)/C66</f>
        <v>0.11639608848381278</v>
      </c>
    </row>
    <row r="72" spans="1:7" x14ac:dyDescent="0.2">
      <c r="A72" s="3" t="s">
        <v>276</v>
      </c>
      <c r="C72" s="5">
        <f>(C62-C67)/C67</f>
        <v>5.498553012365167E-2</v>
      </c>
    </row>
    <row r="73" spans="1:7" x14ac:dyDescent="0.2">
      <c r="A73" s="3" t="s">
        <v>277</v>
      </c>
      <c r="C73" s="5">
        <f>(C63-C68)/C68</f>
        <v>0.13585031462266117</v>
      </c>
    </row>
    <row r="80" spans="1:7" x14ac:dyDescent="0.2">
      <c r="G80">
        <f>0.95/4</f>
        <v>0.23749999999999999</v>
      </c>
    </row>
    <row r="82" spans="5:9" x14ac:dyDescent="0.2">
      <c r="E82">
        <v>3</v>
      </c>
      <c r="F82">
        <v>4.95</v>
      </c>
      <c r="G82">
        <f>F82-E82</f>
        <v>1.9500000000000002</v>
      </c>
      <c r="I82" s="18">
        <f>G82/F82</f>
        <v>0.39393939393939398</v>
      </c>
    </row>
    <row r="84" spans="5:9" x14ac:dyDescent="0.2">
      <c r="G84">
        <f>2.1/5.1</f>
        <v>0.41176470588235298</v>
      </c>
    </row>
  </sheetData>
  <pageMargins left="0.25" right="0.25" top="0.75" bottom="0.75" header="0.3" footer="0.3"/>
  <pageSetup paperSize="9" scale="66" orientation="portrait" horizontalDpi="0" verticalDpi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81AA33-8DD3-A245-B889-2B9494220806}">
  <dimension ref="A1:M1330"/>
  <sheetViews>
    <sheetView workbookViewId="0">
      <selection sqref="A1:M1099"/>
    </sheetView>
  </sheetViews>
  <sheetFormatPr baseColWidth="10" defaultRowHeight="16" x14ac:dyDescent="0.2"/>
  <cols>
    <col min="1" max="1" width="16.33203125" customWidth="1"/>
    <col min="2" max="2" width="28.33203125" customWidth="1"/>
  </cols>
  <sheetData>
    <row r="1" spans="1:13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</row>
    <row r="2" spans="1:13" x14ac:dyDescent="0.2">
      <c r="A2" t="s">
        <v>301</v>
      </c>
      <c r="B2" t="s">
        <v>14</v>
      </c>
      <c r="C2" t="s">
        <v>302</v>
      </c>
      <c r="D2" t="s">
        <v>13</v>
      </c>
      <c r="E2">
        <v>7</v>
      </c>
      <c r="F2" s="1">
        <v>11.62</v>
      </c>
      <c r="G2">
        <v>0</v>
      </c>
      <c r="H2" s="1">
        <v>0</v>
      </c>
      <c r="I2" s="1">
        <v>0</v>
      </c>
      <c r="J2" s="1">
        <v>11.62</v>
      </c>
      <c r="K2" s="1">
        <v>2.38</v>
      </c>
      <c r="L2" s="1">
        <v>14</v>
      </c>
      <c r="M2">
        <v>7</v>
      </c>
    </row>
    <row r="3" spans="1:13" x14ac:dyDescent="0.2">
      <c r="A3" t="s">
        <v>15</v>
      </c>
      <c r="B3" t="s">
        <v>14</v>
      </c>
      <c r="C3">
        <v>1872602</v>
      </c>
      <c r="D3" t="s">
        <v>13</v>
      </c>
      <c r="E3">
        <v>9</v>
      </c>
      <c r="F3" s="1">
        <v>53.72</v>
      </c>
      <c r="G3">
        <v>-1</v>
      </c>
      <c r="H3" s="1">
        <v>-11.2</v>
      </c>
      <c r="I3" s="1">
        <v>-2.5</v>
      </c>
      <c r="J3" s="1">
        <v>40.020000000000003</v>
      </c>
      <c r="K3" s="1">
        <v>0</v>
      </c>
      <c r="L3" s="1">
        <v>40.020000000000003</v>
      </c>
      <c r="M3">
        <v>9</v>
      </c>
    </row>
    <row r="4" spans="1:13" x14ac:dyDescent="0.2">
      <c r="A4" t="s">
        <v>303</v>
      </c>
      <c r="B4" t="s">
        <v>14</v>
      </c>
      <c r="C4">
        <v>9338078006091</v>
      </c>
      <c r="D4" t="s">
        <v>16</v>
      </c>
      <c r="E4">
        <v>2</v>
      </c>
      <c r="F4" s="1">
        <v>8.1999999999999993</v>
      </c>
      <c r="G4">
        <v>0</v>
      </c>
      <c r="H4" s="1">
        <v>0</v>
      </c>
      <c r="I4" s="1">
        <v>-2.52</v>
      </c>
      <c r="J4" s="1">
        <v>5.68</v>
      </c>
      <c r="K4" s="1">
        <v>0</v>
      </c>
      <c r="L4" s="1">
        <v>5.68</v>
      </c>
      <c r="M4">
        <v>2</v>
      </c>
    </row>
    <row r="5" spans="1:13" x14ac:dyDescent="0.2">
      <c r="A5" t="s">
        <v>496</v>
      </c>
      <c r="B5" t="s">
        <v>14</v>
      </c>
      <c r="C5">
        <v>9338078007036</v>
      </c>
      <c r="D5" t="s">
        <v>16</v>
      </c>
      <c r="E5">
        <v>2</v>
      </c>
      <c r="F5" s="1">
        <v>8.1999999999999993</v>
      </c>
      <c r="G5">
        <v>0</v>
      </c>
      <c r="H5" s="1">
        <v>0</v>
      </c>
      <c r="I5" s="1">
        <v>-1.26</v>
      </c>
      <c r="J5" s="1">
        <v>6.94</v>
      </c>
      <c r="K5" s="1">
        <v>0</v>
      </c>
      <c r="L5" s="1">
        <v>6.94</v>
      </c>
      <c r="M5">
        <v>2</v>
      </c>
    </row>
    <row r="6" spans="1:13" x14ac:dyDescent="0.2">
      <c r="A6" t="s">
        <v>497</v>
      </c>
      <c r="B6" t="s">
        <v>14</v>
      </c>
      <c r="C6">
        <v>9338078006220</v>
      </c>
      <c r="D6" t="s">
        <v>16</v>
      </c>
      <c r="E6">
        <v>3</v>
      </c>
      <c r="F6" s="1">
        <v>12.3</v>
      </c>
      <c r="G6">
        <v>0</v>
      </c>
      <c r="H6" s="1">
        <v>0</v>
      </c>
      <c r="I6" s="1">
        <v>0</v>
      </c>
      <c r="J6" s="1">
        <v>12.3</v>
      </c>
      <c r="K6" s="1">
        <v>0</v>
      </c>
      <c r="L6" s="1">
        <v>12.3</v>
      </c>
      <c r="M6">
        <v>3</v>
      </c>
    </row>
    <row r="7" spans="1:13" x14ac:dyDescent="0.2">
      <c r="A7" t="s">
        <v>731</v>
      </c>
      <c r="B7" t="s">
        <v>14</v>
      </c>
      <c r="C7">
        <v>9338078006039</v>
      </c>
      <c r="D7" t="s">
        <v>16</v>
      </c>
      <c r="E7">
        <v>1</v>
      </c>
      <c r="F7" s="1">
        <v>4.0999999999999996</v>
      </c>
      <c r="G7">
        <v>0</v>
      </c>
      <c r="H7" s="1">
        <v>0</v>
      </c>
      <c r="I7" s="1">
        <v>-0.82</v>
      </c>
      <c r="J7" s="1">
        <v>3.28</v>
      </c>
      <c r="K7" s="1">
        <v>0</v>
      </c>
      <c r="L7" s="1">
        <v>3.28</v>
      </c>
      <c r="M7">
        <v>1</v>
      </c>
    </row>
    <row r="8" spans="1:13" x14ac:dyDescent="0.2">
      <c r="A8" t="s">
        <v>732</v>
      </c>
      <c r="B8" t="s">
        <v>14</v>
      </c>
      <c r="C8">
        <v>9351148100574</v>
      </c>
      <c r="D8" t="s">
        <v>16</v>
      </c>
      <c r="E8">
        <v>1</v>
      </c>
      <c r="F8" s="1">
        <v>6.27</v>
      </c>
      <c r="G8">
        <v>0</v>
      </c>
      <c r="H8" s="1">
        <v>0</v>
      </c>
      <c r="I8" s="1">
        <v>0</v>
      </c>
      <c r="J8" s="1">
        <v>6.27</v>
      </c>
      <c r="K8" s="1">
        <v>0.63</v>
      </c>
      <c r="L8" s="1">
        <v>6.9</v>
      </c>
      <c r="M8">
        <v>1</v>
      </c>
    </row>
    <row r="9" spans="1:13" x14ac:dyDescent="0.2">
      <c r="A9" t="s">
        <v>406</v>
      </c>
      <c r="B9" t="s">
        <v>14</v>
      </c>
      <c r="C9">
        <v>9369999109462</v>
      </c>
      <c r="D9" t="s">
        <v>16</v>
      </c>
      <c r="E9">
        <v>3</v>
      </c>
      <c r="F9" s="1">
        <v>16.5</v>
      </c>
      <c r="G9">
        <v>0</v>
      </c>
      <c r="H9" s="1">
        <v>0</v>
      </c>
      <c r="I9" s="1">
        <v>0</v>
      </c>
      <c r="J9" s="1">
        <v>16.5</v>
      </c>
      <c r="K9" s="1">
        <v>0</v>
      </c>
      <c r="L9" s="1">
        <v>16.5</v>
      </c>
      <c r="M9">
        <v>3</v>
      </c>
    </row>
    <row r="10" spans="1:13" x14ac:dyDescent="0.2">
      <c r="A10" t="s">
        <v>17</v>
      </c>
      <c r="B10" t="s">
        <v>14</v>
      </c>
      <c r="C10">
        <v>9369900033374</v>
      </c>
      <c r="D10" t="s">
        <v>16</v>
      </c>
      <c r="E10">
        <v>10</v>
      </c>
      <c r="F10" s="1">
        <v>55</v>
      </c>
      <c r="G10">
        <v>0</v>
      </c>
      <c r="H10" s="1">
        <v>0</v>
      </c>
      <c r="I10" s="1">
        <v>0</v>
      </c>
      <c r="J10" s="1">
        <v>55</v>
      </c>
      <c r="K10" s="1">
        <v>0</v>
      </c>
      <c r="L10" s="1">
        <v>55</v>
      </c>
      <c r="M10">
        <v>10</v>
      </c>
    </row>
    <row r="11" spans="1:13" x14ac:dyDescent="0.2">
      <c r="A11" t="s">
        <v>498</v>
      </c>
      <c r="B11" t="s">
        <v>14</v>
      </c>
      <c r="C11">
        <v>9369999346478</v>
      </c>
      <c r="D11" t="s">
        <v>16</v>
      </c>
      <c r="E11">
        <v>4</v>
      </c>
      <c r="F11" s="1">
        <v>22</v>
      </c>
      <c r="G11">
        <v>0</v>
      </c>
      <c r="H11" s="1">
        <v>0</v>
      </c>
      <c r="I11" s="1">
        <v>0</v>
      </c>
      <c r="J11" s="1">
        <v>22</v>
      </c>
      <c r="K11" s="1">
        <v>0</v>
      </c>
      <c r="L11" s="1">
        <v>22</v>
      </c>
      <c r="M11">
        <v>4</v>
      </c>
    </row>
    <row r="12" spans="1:13" x14ac:dyDescent="0.2">
      <c r="A12" t="s">
        <v>365</v>
      </c>
      <c r="B12" t="s">
        <v>14</v>
      </c>
      <c r="C12">
        <v>9369998511068</v>
      </c>
      <c r="D12" t="s">
        <v>16</v>
      </c>
      <c r="E12">
        <v>1</v>
      </c>
      <c r="F12" s="1">
        <v>5.5</v>
      </c>
      <c r="G12">
        <v>0</v>
      </c>
      <c r="H12" s="1">
        <v>0</v>
      </c>
      <c r="I12" s="1">
        <v>0</v>
      </c>
      <c r="J12" s="1">
        <v>5.5</v>
      </c>
      <c r="K12" s="1">
        <v>0</v>
      </c>
      <c r="L12" s="1">
        <v>5.5</v>
      </c>
      <c r="M12">
        <v>1</v>
      </c>
    </row>
    <row r="13" spans="1:13" x14ac:dyDescent="0.2">
      <c r="A13" t="s">
        <v>733</v>
      </c>
      <c r="B13" t="s">
        <v>14</v>
      </c>
      <c r="C13">
        <v>7640230492805</v>
      </c>
      <c r="D13" t="s">
        <v>16</v>
      </c>
      <c r="E13">
        <v>1</v>
      </c>
      <c r="F13" s="1">
        <v>3.95</v>
      </c>
      <c r="G13">
        <v>0</v>
      </c>
      <c r="H13" s="1">
        <v>0</v>
      </c>
      <c r="I13" s="1">
        <v>-1.22</v>
      </c>
      <c r="J13" s="1">
        <v>2.73</v>
      </c>
      <c r="K13" s="1">
        <v>0</v>
      </c>
      <c r="L13" s="1">
        <v>2.73</v>
      </c>
      <c r="M13">
        <v>1</v>
      </c>
    </row>
    <row r="14" spans="1:13" x14ac:dyDescent="0.2">
      <c r="A14" t="s">
        <v>734</v>
      </c>
      <c r="B14" t="s">
        <v>14</v>
      </c>
      <c r="C14">
        <v>7640161879355</v>
      </c>
      <c r="D14" t="s">
        <v>16</v>
      </c>
      <c r="E14">
        <v>4</v>
      </c>
      <c r="F14" s="1">
        <v>19.96</v>
      </c>
      <c r="G14">
        <v>0</v>
      </c>
      <c r="H14" s="1">
        <v>0</v>
      </c>
      <c r="I14" s="1">
        <v>-1.77</v>
      </c>
      <c r="J14" s="1">
        <v>18.190000000000001</v>
      </c>
      <c r="K14" s="1">
        <v>1.84</v>
      </c>
      <c r="L14" s="1">
        <v>20.03</v>
      </c>
      <c r="M14">
        <v>4</v>
      </c>
    </row>
    <row r="15" spans="1:13" x14ac:dyDescent="0.2">
      <c r="A15" t="s">
        <v>592</v>
      </c>
      <c r="B15" t="s">
        <v>14</v>
      </c>
      <c r="C15">
        <v>9369998501953</v>
      </c>
      <c r="D15" t="s">
        <v>16</v>
      </c>
      <c r="E15">
        <v>3</v>
      </c>
      <c r="F15" s="1">
        <v>12.54</v>
      </c>
      <c r="G15">
        <v>0</v>
      </c>
      <c r="H15" s="1">
        <v>0</v>
      </c>
      <c r="I15" s="1">
        <v>0</v>
      </c>
      <c r="J15" s="1">
        <v>12.54</v>
      </c>
      <c r="K15" s="1">
        <v>1.26</v>
      </c>
      <c r="L15" s="1">
        <v>13.8</v>
      </c>
      <c r="M15">
        <v>3</v>
      </c>
    </row>
    <row r="16" spans="1:13" x14ac:dyDescent="0.2">
      <c r="A16" t="s">
        <v>735</v>
      </c>
      <c r="B16" t="s">
        <v>14</v>
      </c>
      <c r="C16">
        <v>9309001337025</v>
      </c>
      <c r="D16" t="s">
        <v>16</v>
      </c>
      <c r="E16">
        <v>3</v>
      </c>
      <c r="F16" s="1">
        <v>26.75</v>
      </c>
      <c r="G16">
        <v>0</v>
      </c>
      <c r="H16" s="1">
        <v>0</v>
      </c>
      <c r="I16" s="1">
        <v>-0.54</v>
      </c>
      <c r="J16" s="1">
        <v>26.21</v>
      </c>
      <c r="K16" s="1">
        <v>2.65</v>
      </c>
      <c r="L16" s="1">
        <v>28.86</v>
      </c>
      <c r="M16">
        <v>3</v>
      </c>
    </row>
    <row r="17" spans="1:13" x14ac:dyDescent="0.2">
      <c r="A17" t="s">
        <v>736</v>
      </c>
      <c r="B17" t="s">
        <v>14</v>
      </c>
      <c r="C17">
        <v>9421905971249</v>
      </c>
      <c r="D17" t="s">
        <v>16</v>
      </c>
      <c r="E17">
        <v>1</v>
      </c>
      <c r="F17" s="1">
        <v>15.2</v>
      </c>
      <c r="G17">
        <v>0</v>
      </c>
      <c r="H17" s="1">
        <v>0</v>
      </c>
      <c r="I17" s="1">
        <v>0</v>
      </c>
      <c r="J17" s="1">
        <v>15.2</v>
      </c>
      <c r="K17" s="1">
        <v>0</v>
      </c>
      <c r="L17" s="1">
        <v>15.2</v>
      </c>
      <c r="M17">
        <v>1</v>
      </c>
    </row>
    <row r="18" spans="1:13" x14ac:dyDescent="0.2">
      <c r="A18" t="s">
        <v>737</v>
      </c>
      <c r="B18" t="s">
        <v>14</v>
      </c>
      <c r="C18">
        <v>9421905971072</v>
      </c>
      <c r="D18" t="s">
        <v>16</v>
      </c>
      <c r="E18">
        <v>1</v>
      </c>
      <c r="F18" s="1">
        <v>53.3</v>
      </c>
      <c r="G18">
        <v>0</v>
      </c>
      <c r="H18" s="1">
        <v>0</v>
      </c>
      <c r="I18" s="1">
        <v>-7.35</v>
      </c>
      <c r="J18" s="1">
        <v>45.95</v>
      </c>
      <c r="K18" s="1">
        <v>0</v>
      </c>
      <c r="L18" s="1">
        <v>45.95</v>
      </c>
      <c r="M18">
        <v>1</v>
      </c>
    </row>
    <row r="19" spans="1:13" x14ac:dyDescent="0.2">
      <c r="A19" t="s">
        <v>943</v>
      </c>
      <c r="B19" t="s">
        <v>14</v>
      </c>
      <c r="C19">
        <v>4260311981450</v>
      </c>
      <c r="D19" t="s">
        <v>16</v>
      </c>
      <c r="E19">
        <v>2</v>
      </c>
      <c r="F19" s="1">
        <v>12.17</v>
      </c>
      <c r="G19">
        <v>0</v>
      </c>
      <c r="H19" s="1">
        <v>0</v>
      </c>
      <c r="I19" s="1">
        <v>0</v>
      </c>
      <c r="J19" s="1">
        <v>12.17</v>
      </c>
      <c r="K19" s="1">
        <v>1.23</v>
      </c>
      <c r="L19" s="1">
        <v>13.4</v>
      </c>
      <c r="M19">
        <v>2</v>
      </c>
    </row>
    <row r="20" spans="1:13" x14ac:dyDescent="0.2">
      <c r="A20" t="s">
        <v>944</v>
      </c>
      <c r="B20" t="s">
        <v>14</v>
      </c>
      <c r="C20">
        <v>9336595000318</v>
      </c>
      <c r="D20" t="s">
        <v>16</v>
      </c>
      <c r="E20">
        <v>1</v>
      </c>
      <c r="F20" s="1">
        <v>5.0599999999999996</v>
      </c>
      <c r="G20">
        <v>0</v>
      </c>
      <c r="H20" s="1">
        <v>0</v>
      </c>
      <c r="I20" s="1">
        <v>-1.75</v>
      </c>
      <c r="J20" s="1">
        <v>3.31</v>
      </c>
      <c r="K20" s="1">
        <v>0.34</v>
      </c>
      <c r="L20" s="1">
        <v>3.65</v>
      </c>
      <c r="M20">
        <v>1</v>
      </c>
    </row>
    <row r="21" spans="1:13" x14ac:dyDescent="0.2">
      <c r="A21" t="s">
        <v>444</v>
      </c>
      <c r="B21" t="s">
        <v>14</v>
      </c>
      <c r="C21">
        <v>9311254002490</v>
      </c>
      <c r="D21" t="s">
        <v>18</v>
      </c>
      <c r="E21">
        <v>1</v>
      </c>
      <c r="F21" s="1">
        <v>14.1</v>
      </c>
      <c r="G21">
        <v>0</v>
      </c>
      <c r="H21" s="1">
        <v>0</v>
      </c>
      <c r="I21" s="1">
        <v>0</v>
      </c>
      <c r="J21" s="1">
        <v>14.1</v>
      </c>
      <c r="K21" s="1">
        <v>0</v>
      </c>
      <c r="L21" s="1">
        <v>14.1</v>
      </c>
      <c r="M21">
        <v>1</v>
      </c>
    </row>
    <row r="22" spans="1:13" x14ac:dyDescent="0.2">
      <c r="A22" t="s">
        <v>499</v>
      </c>
      <c r="B22" t="s">
        <v>14</v>
      </c>
      <c r="C22">
        <v>5032722312227</v>
      </c>
      <c r="D22" t="s">
        <v>18</v>
      </c>
      <c r="E22">
        <v>2</v>
      </c>
      <c r="F22" s="1">
        <v>18.600000000000001</v>
      </c>
      <c r="G22">
        <v>0</v>
      </c>
      <c r="H22" s="1">
        <v>0</v>
      </c>
      <c r="I22" s="1">
        <v>0</v>
      </c>
      <c r="J22" s="1">
        <v>18.600000000000001</v>
      </c>
      <c r="K22" s="1">
        <v>0</v>
      </c>
      <c r="L22" s="1">
        <v>18.600000000000001</v>
      </c>
      <c r="M22">
        <v>2</v>
      </c>
    </row>
    <row r="23" spans="1:13" x14ac:dyDescent="0.2">
      <c r="A23" t="s">
        <v>945</v>
      </c>
      <c r="B23" t="s">
        <v>14</v>
      </c>
      <c r="C23">
        <v>5032722303607</v>
      </c>
      <c r="D23" t="s">
        <v>18</v>
      </c>
      <c r="E23">
        <v>1</v>
      </c>
      <c r="F23" s="1">
        <v>8.9499999999999993</v>
      </c>
      <c r="G23">
        <v>0</v>
      </c>
      <c r="H23" s="1">
        <v>0</v>
      </c>
      <c r="I23" s="1">
        <v>0</v>
      </c>
      <c r="J23" s="1">
        <v>8.9499999999999993</v>
      </c>
      <c r="K23" s="1">
        <v>0</v>
      </c>
      <c r="L23" s="1">
        <v>8.9499999999999993</v>
      </c>
      <c r="M23">
        <v>1</v>
      </c>
    </row>
    <row r="24" spans="1:13" x14ac:dyDescent="0.2">
      <c r="A24" t="s">
        <v>500</v>
      </c>
      <c r="B24" t="s">
        <v>14</v>
      </c>
      <c r="C24">
        <v>5032722305953</v>
      </c>
      <c r="D24" t="s">
        <v>18</v>
      </c>
      <c r="E24">
        <v>1</v>
      </c>
      <c r="F24" s="1">
        <v>9.3000000000000007</v>
      </c>
      <c r="G24">
        <v>0</v>
      </c>
      <c r="H24" s="1">
        <v>0</v>
      </c>
      <c r="I24" s="1">
        <v>0</v>
      </c>
      <c r="J24" s="1">
        <v>9.3000000000000007</v>
      </c>
      <c r="K24" s="1">
        <v>0</v>
      </c>
      <c r="L24" s="1">
        <v>9.3000000000000007</v>
      </c>
      <c r="M24">
        <v>1</v>
      </c>
    </row>
    <row r="25" spans="1:13" x14ac:dyDescent="0.2">
      <c r="A25" t="s">
        <v>19</v>
      </c>
      <c r="B25" t="s">
        <v>14</v>
      </c>
      <c r="C25">
        <v>9369998065462</v>
      </c>
      <c r="D25" t="s">
        <v>18</v>
      </c>
      <c r="E25">
        <v>4</v>
      </c>
      <c r="F25" s="1">
        <v>68</v>
      </c>
      <c r="G25">
        <v>0</v>
      </c>
      <c r="H25" s="1">
        <v>0</v>
      </c>
      <c r="I25" s="1">
        <v>-0.38</v>
      </c>
      <c r="J25" s="1">
        <v>67.62</v>
      </c>
      <c r="K25" s="1">
        <v>0</v>
      </c>
      <c r="L25" s="1">
        <v>67.62</v>
      </c>
      <c r="M25">
        <v>4</v>
      </c>
    </row>
    <row r="26" spans="1:13" x14ac:dyDescent="0.2">
      <c r="A26" t="s">
        <v>594</v>
      </c>
      <c r="B26" t="s">
        <v>14</v>
      </c>
      <c r="C26">
        <v>9320895001854</v>
      </c>
      <c r="D26" t="s">
        <v>18</v>
      </c>
      <c r="E26">
        <v>2</v>
      </c>
      <c r="F26" s="1">
        <v>12.2</v>
      </c>
      <c r="G26">
        <v>0</v>
      </c>
      <c r="H26" s="1">
        <v>0</v>
      </c>
      <c r="I26" s="1">
        <v>0</v>
      </c>
      <c r="J26" s="1">
        <v>12.2</v>
      </c>
      <c r="K26" s="1">
        <v>0</v>
      </c>
      <c r="L26" s="1">
        <v>12.2</v>
      </c>
      <c r="M26">
        <v>2</v>
      </c>
    </row>
    <row r="27" spans="1:13" x14ac:dyDescent="0.2">
      <c r="A27" t="s">
        <v>501</v>
      </c>
      <c r="B27" t="s">
        <v>14</v>
      </c>
      <c r="C27">
        <v>9358153000011</v>
      </c>
      <c r="D27" t="s">
        <v>18</v>
      </c>
      <c r="E27">
        <v>1</v>
      </c>
      <c r="F27" s="1">
        <v>11.35</v>
      </c>
      <c r="G27">
        <v>0</v>
      </c>
      <c r="H27" s="1">
        <v>0</v>
      </c>
      <c r="I27" s="1">
        <v>0</v>
      </c>
      <c r="J27" s="1">
        <v>11.35</v>
      </c>
      <c r="K27" s="1">
        <v>0</v>
      </c>
      <c r="L27" s="1">
        <v>11.35</v>
      </c>
      <c r="M27">
        <v>1</v>
      </c>
    </row>
    <row r="28" spans="1:13" x14ac:dyDescent="0.2">
      <c r="A28" t="s">
        <v>946</v>
      </c>
      <c r="B28" t="s">
        <v>14</v>
      </c>
      <c r="C28">
        <v>799439078857</v>
      </c>
      <c r="D28" t="s">
        <v>18</v>
      </c>
      <c r="E28">
        <v>1</v>
      </c>
      <c r="F28" s="1">
        <v>10.7</v>
      </c>
      <c r="G28">
        <v>0</v>
      </c>
      <c r="H28" s="1">
        <v>0</v>
      </c>
      <c r="I28" s="1">
        <v>0</v>
      </c>
      <c r="J28" s="1">
        <v>10.7</v>
      </c>
      <c r="K28" s="1">
        <v>0</v>
      </c>
      <c r="L28" s="1">
        <v>10.7</v>
      </c>
      <c r="M28">
        <v>1</v>
      </c>
    </row>
    <row r="29" spans="1:13" x14ac:dyDescent="0.2">
      <c r="A29" t="s">
        <v>304</v>
      </c>
      <c r="B29" t="s">
        <v>14</v>
      </c>
      <c r="C29">
        <v>799439079007</v>
      </c>
      <c r="D29" t="s">
        <v>18</v>
      </c>
      <c r="E29">
        <v>2</v>
      </c>
      <c r="F29" s="1">
        <v>22.9</v>
      </c>
      <c r="G29">
        <v>0</v>
      </c>
      <c r="H29" s="1">
        <v>0</v>
      </c>
      <c r="I29" s="1">
        <v>0</v>
      </c>
      <c r="J29" s="1">
        <v>22.9</v>
      </c>
      <c r="K29" s="1">
        <v>0</v>
      </c>
      <c r="L29" s="1">
        <v>22.9</v>
      </c>
      <c r="M29">
        <v>2</v>
      </c>
    </row>
    <row r="30" spans="1:13" x14ac:dyDescent="0.2">
      <c r="A30" t="s">
        <v>596</v>
      </c>
      <c r="B30" t="s">
        <v>14</v>
      </c>
      <c r="C30">
        <v>799439079038</v>
      </c>
      <c r="D30" t="s">
        <v>18</v>
      </c>
      <c r="E30">
        <v>1</v>
      </c>
      <c r="F30" s="1">
        <v>15.3</v>
      </c>
      <c r="G30">
        <v>0</v>
      </c>
      <c r="H30" s="1">
        <v>0</v>
      </c>
      <c r="I30" s="1">
        <v>0</v>
      </c>
      <c r="J30" s="1">
        <v>15.3</v>
      </c>
      <c r="K30" s="1">
        <v>0</v>
      </c>
      <c r="L30" s="1">
        <v>15.3</v>
      </c>
      <c r="M30">
        <v>1</v>
      </c>
    </row>
    <row r="31" spans="1:13" x14ac:dyDescent="0.2">
      <c r="A31" t="s">
        <v>947</v>
      </c>
      <c r="B31" t="s">
        <v>14</v>
      </c>
      <c r="C31">
        <v>9349227000198</v>
      </c>
      <c r="D31" t="s">
        <v>18</v>
      </c>
      <c r="E31">
        <v>7</v>
      </c>
      <c r="F31" s="1">
        <v>54.95</v>
      </c>
      <c r="G31">
        <v>0</v>
      </c>
      <c r="H31" s="1">
        <v>0</v>
      </c>
      <c r="I31" s="1">
        <v>-2.0099999999999998</v>
      </c>
      <c r="J31" s="1">
        <v>52.94</v>
      </c>
      <c r="K31" s="1">
        <v>0</v>
      </c>
      <c r="L31" s="1">
        <v>52.94</v>
      </c>
      <c r="M31">
        <v>7</v>
      </c>
    </row>
    <row r="32" spans="1:13" x14ac:dyDescent="0.2">
      <c r="A32" t="s">
        <v>20</v>
      </c>
      <c r="B32" t="s">
        <v>14</v>
      </c>
      <c r="C32">
        <v>9349227000211</v>
      </c>
      <c r="D32" t="s">
        <v>18</v>
      </c>
      <c r="E32">
        <v>4</v>
      </c>
      <c r="F32" s="1">
        <v>47.6</v>
      </c>
      <c r="G32">
        <v>0</v>
      </c>
      <c r="H32" s="1">
        <v>0</v>
      </c>
      <c r="I32" s="1">
        <v>-1.04</v>
      </c>
      <c r="J32" s="1">
        <v>46.56</v>
      </c>
      <c r="K32" s="1">
        <v>0</v>
      </c>
      <c r="L32" s="1">
        <v>46.56</v>
      </c>
      <c r="M32">
        <v>4</v>
      </c>
    </row>
    <row r="33" spans="1:13" x14ac:dyDescent="0.2">
      <c r="A33" t="s">
        <v>739</v>
      </c>
      <c r="B33" t="s">
        <v>14</v>
      </c>
      <c r="C33">
        <v>793618192747</v>
      </c>
      <c r="D33" t="s">
        <v>18</v>
      </c>
      <c r="E33">
        <v>1</v>
      </c>
      <c r="F33" s="1">
        <v>13.95</v>
      </c>
      <c r="G33">
        <v>0</v>
      </c>
      <c r="H33" s="1">
        <v>0</v>
      </c>
      <c r="I33" s="1">
        <v>0</v>
      </c>
      <c r="J33" s="1">
        <v>13.95</v>
      </c>
      <c r="K33" s="1">
        <v>0</v>
      </c>
      <c r="L33" s="1">
        <v>13.95</v>
      </c>
      <c r="M33">
        <v>1</v>
      </c>
    </row>
    <row r="34" spans="1:13" x14ac:dyDescent="0.2">
      <c r="A34" t="s">
        <v>740</v>
      </c>
      <c r="B34" t="s">
        <v>14</v>
      </c>
      <c r="C34">
        <v>754590186803</v>
      </c>
      <c r="D34" t="s">
        <v>18</v>
      </c>
      <c r="E34">
        <v>3</v>
      </c>
      <c r="F34" s="1">
        <v>52.5</v>
      </c>
      <c r="G34">
        <v>0</v>
      </c>
      <c r="H34" s="1">
        <v>0</v>
      </c>
      <c r="I34" s="1">
        <v>-17.5</v>
      </c>
      <c r="J34" s="1">
        <v>35</v>
      </c>
      <c r="K34" s="1">
        <v>0</v>
      </c>
      <c r="L34" s="1">
        <v>35</v>
      </c>
      <c r="M34">
        <v>3</v>
      </c>
    </row>
    <row r="35" spans="1:13" x14ac:dyDescent="0.2">
      <c r="A35" t="s">
        <v>446</v>
      </c>
      <c r="B35" t="s">
        <v>14</v>
      </c>
      <c r="C35">
        <v>735850488790</v>
      </c>
      <c r="D35" t="s">
        <v>18</v>
      </c>
      <c r="E35">
        <v>3</v>
      </c>
      <c r="F35" s="1">
        <v>52.5</v>
      </c>
      <c r="G35">
        <v>0</v>
      </c>
      <c r="H35" s="1">
        <v>0</v>
      </c>
      <c r="I35" s="1">
        <v>0</v>
      </c>
      <c r="J35" s="1">
        <v>52.5</v>
      </c>
      <c r="K35" s="1">
        <v>0</v>
      </c>
      <c r="L35" s="1">
        <v>52.5</v>
      </c>
      <c r="M35">
        <v>3</v>
      </c>
    </row>
    <row r="36" spans="1:13" x14ac:dyDescent="0.2">
      <c r="A36" t="s">
        <v>502</v>
      </c>
      <c r="B36" t="s">
        <v>14</v>
      </c>
      <c r="C36">
        <v>4000446011376</v>
      </c>
      <c r="D36" t="s">
        <v>18</v>
      </c>
      <c r="E36">
        <v>2</v>
      </c>
      <c r="F36" s="1">
        <v>15.5</v>
      </c>
      <c r="G36">
        <v>0</v>
      </c>
      <c r="H36" s="1">
        <v>0</v>
      </c>
      <c r="I36" s="1">
        <v>0</v>
      </c>
      <c r="J36" s="1">
        <v>15.5</v>
      </c>
      <c r="K36" s="1">
        <v>0</v>
      </c>
      <c r="L36" s="1">
        <v>15.5</v>
      </c>
      <c r="M36">
        <v>2</v>
      </c>
    </row>
    <row r="37" spans="1:13" x14ac:dyDescent="0.2">
      <c r="A37" t="s">
        <v>22</v>
      </c>
      <c r="B37" t="s">
        <v>14</v>
      </c>
      <c r="C37">
        <v>9325239000258</v>
      </c>
      <c r="D37" t="s">
        <v>18</v>
      </c>
      <c r="E37">
        <v>11</v>
      </c>
      <c r="F37" s="1">
        <v>103.4</v>
      </c>
      <c r="G37">
        <v>0</v>
      </c>
      <c r="H37" s="1">
        <v>0</v>
      </c>
      <c r="I37" s="1">
        <v>-10.119999999999999</v>
      </c>
      <c r="J37" s="1">
        <v>93.28</v>
      </c>
      <c r="K37" s="1">
        <v>0</v>
      </c>
      <c r="L37" s="1">
        <v>93.28</v>
      </c>
      <c r="M37">
        <v>11</v>
      </c>
    </row>
    <row r="38" spans="1:13" x14ac:dyDescent="0.2">
      <c r="A38" t="s">
        <v>280</v>
      </c>
      <c r="B38" t="s">
        <v>14</v>
      </c>
      <c r="C38">
        <v>9325239000074</v>
      </c>
      <c r="D38" t="s">
        <v>18</v>
      </c>
      <c r="E38">
        <v>2</v>
      </c>
      <c r="F38" s="1">
        <v>18.8</v>
      </c>
      <c r="G38">
        <v>0</v>
      </c>
      <c r="H38" s="1">
        <v>0</v>
      </c>
      <c r="I38" s="1">
        <v>-1.88</v>
      </c>
      <c r="J38" s="1">
        <v>16.920000000000002</v>
      </c>
      <c r="K38" s="1">
        <v>0</v>
      </c>
      <c r="L38" s="1">
        <v>16.920000000000002</v>
      </c>
      <c r="M38">
        <v>2</v>
      </c>
    </row>
    <row r="39" spans="1:13" x14ac:dyDescent="0.2">
      <c r="A39" t="s">
        <v>324</v>
      </c>
      <c r="B39" t="s">
        <v>14</v>
      </c>
      <c r="C39">
        <v>9325239000098</v>
      </c>
      <c r="D39" t="s">
        <v>18</v>
      </c>
      <c r="E39">
        <v>1</v>
      </c>
      <c r="F39" s="1">
        <v>8.9499999999999993</v>
      </c>
      <c r="G39">
        <v>0</v>
      </c>
      <c r="H39" s="1">
        <v>0</v>
      </c>
      <c r="I39" s="1">
        <v>0</v>
      </c>
      <c r="J39" s="1">
        <v>8.9499999999999993</v>
      </c>
      <c r="K39" s="1">
        <v>0</v>
      </c>
      <c r="L39" s="1">
        <v>8.9499999999999993</v>
      </c>
      <c r="M39">
        <v>1</v>
      </c>
    </row>
    <row r="40" spans="1:13" x14ac:dyDescent="0.2">
      <c r="A40" t="s">
        <v>24</v>
      </c>
      <c r="B40" t="s">
        <v>14</v>
      </c>
      <c r="C40">
        <v>9325239001019</v>
      </c>
      <c r="D40" t="s">
        <v>18</v>
      </c>
      <c r="E40">
        <v>2</v>
      </c>
      <c r="F40" s="1">
        <v>20</v>
      </c>
      <c r="G40">
        <v>0</v>
      </c>
      <c r="H40" s="1">
        <v>0</v>
      </c>
      <c r="I40" s="1">
        <v>-2.2599999999999998</v>
      </c>
      <c r="J40" s="1">
        <v>17.739999999999998</v>
      </c>
      <c r="K40" s="1">
        <v>0</v>
      </c>
      <c r="L40" s="1">
        <v>17.739999999999998</v>
      </c>
      <c r="M40">
        <v>2</v>
      </c>
    </row>
    <row r="41" spans="1:13" x14ac:dyDescent="0.2">
      <c r="A41" t="s">
        <v>25</v>
      </c>
      <c r="B41" t="s">
        <v>14</v>
      </c>
      <c r="C41">
        <v>9325239000128</v>
      </c>
      <c r="D41" t="s">
        <v>18</v>
      </c>
      <c r="E41">
        <v>3</v>
      </c>
      <c r="F41" s="1">
        <v>28.2</v>
      </c>
      <c r="G41">
        <v>0</v>
      </c>
      <c r="H41" s="1">
        <v>0</v>
      </c>
      <c r="I41" s="1">
        <v>0</v>
      </c>
      <c r="J41" s="1">
        <v>28.2</v>
      </c>
      <c r="K41" s="1">
        <v>0</v>
      </c>
      <c r="L41" s="1">
        <v>28.2</v>
      </c>
      <c r="M41">
        <v>3</v>
      </c>
    </row>
    <row r="42" spans="1:13" x14ac:dyDescent="0.2">
      <c r="A42" t="s">
        <v>741</v>
      </c>
      <c r="B42" t="s">
        <v>14</v>
      </c>
      <c r="C42">
        <v>9325239000081</v>
      </c>
      <c r="D42" t="s">
        <v>18</v>
      </c>
      <c r="E42">
        <v>1</v>
      </c>
      <c r="F42" s="1">
        <v>10.8</v>
      </c>
      <c r="G42">
        <v>0</v>
      </c>
      <c r="H42" s="1">
        <v>0</v>
      </c>
      <c r="I42" s="1">
        <v>0</v>
      </c>
      <c r="J42" s="1">
        <v>10.8</v>
      </c>
      <c r="K42" s="1">
        <v>0</v>
      </c>
      <c r="L42" s="1">
        <v>10.8</v>
      </c>
      <c r="M42">
        <v>1</v>
      </c>
    </row>
    <row r="43" spans="1:13" x14ac:dyDescent="0.2">
      <c r="A43" t="s">
        <v>26</v>
      </c>
      <c r="B43" t="s">
        <v>14</v>
      </c>
      <c r="C43">
        <v>9325239000791</v>
      </c>
      <c r="D43" t="s">
        <v>18</v>
      </c>
      <c r="E43">
        <v>1</v>
      </c>
      <c r="F43" s="1">
        <v>9.4</v>
      </c>
      <c r="G43">
        <v>0</v>
      </c>
      <c r="H43" s="1">
        <v>0</v>
      </c>
      <c r="I43" s="1">
        <v>-1.88</v>
      </c>
      <c r="J43" s="1">
        <v>7.52</v>
      </c>
      <c r="K43" s="1">
        <v>0</v>
      </c>
      <c r="L43" s="1">
        <v>7.52</v>
      </c>
      <c r="M43">
        <v>1</v>
      </c>
    </row>
    <row r="44" spans="1:13" x14ac:dyDescent="0.2">
      <c r="A44" t="s">
        <v>27</v>
      </c>
      <c r="B44" t="s">
        <v>14</v>
      </c>
      <c r="C44">
        <v>9325239000807</v>
      </c>
      <c r="D44" t="s">
        <v>18</v>
      </c>
      <c r="E44">
        <v>3</v>
      </c>
      <c r="F44" s="1">
        <v>33.6</v>
      </c>
      <c r="G44">
        <v>0</v>
      </c>
      <c r="H44" s="1">
        <v>0</v>
      </c>
      <c r="I44" s="1">
        <v>0</v>
      </c>
      <c r="J44" s="1">
        <v>33.6</v>
      </c>
      <c r="K44" s="1">
        <v>0</v>
      </c>
      <c r="L44" s="1">
        <v>33.6</v>
      </c>
      <c r="M44">
        <v>3</v>
      </c>
    </row>
    <row r="45" spans="1:13" x14ac:dyDescent="0.2">
      <c r="A45" t="s">
        <v>28</v>
      </c>
      <c r="B45" t="s">
        <v>14</v>
      </c>
      <c r="C45">
        <v>9369999349066</v>
      </c>
      <c r="D45" t="s">
        <v>18</v>
      </c>
      <c r="E45">
        <v>9</v>
      </c>
      <c r="F45" s="1">
        <v>105.3</v>
      </c>
      <c r="G45">
        <v>0</v>
      </c>
      <c r="H45" s="1">
        <v>0</v>
      </c>
      <c r="I45" s="1">
        <v>0</v>
      </c>
      <c r="J45" s="1">
        <v>105.3</v>
      </c>
      <c r="K45" s="1">
        <v>0</v>
      </c>
      <c r="L45" s="1">
        <v>105.3</v>
      </c>
      <c r="M45">
        <v>9</v>
      </c>
    </row>
    <row r="46" spans="1:13" x14ac:dyDescent="0.2">
      <c r="A46" t="s">
        <v>742</v>
      </c>
      <c r="B46" t="s">
        <v>14</v>
      </c>
      <c r="C46">
        <v>9369999111205</v>
      </c>
      <c r="D46" t="s">
        <v>18</v>
      </c>
      <c r="E46">
        <v>1</v>
      </c>
      <c r="F46" s="1">
        <v>12.7</v>
      </c>
      <c r="G46">
        <v>0</v>
      </c>
      <c r="H46" s="1">
        <v>0</v>
      </c>
      <c r="I46" s="1">
        <v>0</v>
      </c>
      <c r="J46" s="1">
        <v>12.7</v>
      </c>
      <c r="K46" s="1">
        <v>0</v>
      </c>
      <c r="L46" s="1">
        <v>12.7</v>
      </c>
      <c r="M46">
        <v>1</v>
      </c>
    </row>
    <row r="47" spans="1:13" x14ac:dyDescent="0.2">
      <c r="A47" t="s">
        <v>948</v>
      </c>
      <c r="B47" t="s">
        <v>14</v>
      </c>
      <c r="C47">
        <v>9369998219827</v>
      </c>
      <c r="D47" t="s">
        <v>18</v>
      </c>
      <c r="E47">
        <v>3</v>
      </c>
      <c r="F47" s="1">
        <v>72</v>
      </c>
      <c r="G47">
        <v>0</v>
      </c>
      <c r="H47" s="1">
        <v>0</v>
      </c>
      <c r="I47" s="1">
        <v>-1.51</v>
      </c>
      <c r="J47" s="1">
        <v>70.489999999999995</v>
      </c>
      <c r="K47" s="1">
        <v>0</v>
      </c>
      <c r="L47" s="1">
        <v>70.489999999999995</v>
      </c>
      <c r="M47">
        <v>3</v>
      </c>
    </row>
    <row r="48" spans="1:13" x14ac:dyDescent="0.2">
      <c r="A48" t="s">
        <v>29</v>
      </c>
      <c r="B48" t="s">
        <v>14</v>
      </c>
      <c r="C48">
        <v>9369998125777</v>
      </c>
      <c r="D48" t="s">
        <v>18</v>
      </c>
      <c r="E48">
        <v>3</v>
      </c>
      <c r="F48" s="1">
        <v>72.599999999999994</v>
      </c>
      <c r="G48">
        <v>0</v>
      </c>
      <c r="H48" s="1">
        <v>0</v>
      </c>
      <c r="I48" s="1">
        <v>-0.59</v>
      </c>
      <c r="J48" s="1">
        <v>72.010000000000005</v>
      </c>
      <c r="K48" s="1">
        <v>0</v>
      </c>
      <c r="L48" s="1">
        <v>72.010000000000005</v>
      </c>
      <c r="M48">
        <v>3</v>
      </c>
    </row>
    <row r="49" spans="1:13" x14ac:dyDescent="0.2">
      <c r="A49" t="s">
        <v>30</v>
      </c>
      <c r="B49" t="s">
        <v>14</v>
      </c>
      <c r="C49">
        <v>9369998409778</v>
      </c>
      <c r="D49" t="s">
        <v>18</v>
      </c>
      <c r="E49">
        <v>4</v>
      </c>
      <c r="F49" s="1">
        <v>96</v>
      </c>
      <c r="G49">
        <v>0</v>
      </c>
      <c r="H49" s="1">
        <v>0</v>
      </c>
      <c r="I49" s="1">
        <v>-0.57999999999999996</v>
      </c>
      <c r="J49" s="1">
        <v>95.42</v>
      </c>
      <c r="K49" s="1">
        <v>0</v>
      </c>
      <c r="L49" s="1">
        <v>95.42</v>
      </c>
      <c r="M49">
        <v>4</v>
      </c>
    </row>
    <row r="50" spans="1:13" x14ac:dyDescent="0.2">
      <c r="A50" t="s">
        <v>743</v>
      </c>
      <c r="B50" t="s">
        <v>14</v>
      </c>
      <c r="C50">
        <v>9369900041546</v>
      </c>
      <c r="D50" t="s">
        <v>18</v>
      </c>
      <c r="E50">
        <v>3</v>
      </c>
      <c r="F50" s="1">
        <v>34.200000000000003</v>
      </c>
      <c r="G50">
        <v>0</v>
      </c>
      <c r="H50" s="1">
        <v>0</v>
      </c>
      <c r="I50" s="1">
        <v>0</v>
      </c>
      <c r="J50" s="1">
        <v>34.200000000000003</v>
      </c>
      <c r="K50" s="1">
        <v>0</v>
      </c>
      <c r="L50" s="1">
        <v>34.200000000000003</v>
      </c>
      <c r="M50">
        <v>3</v>
      </c>
    </row>
    <row r="51" spans="1:13" x14ac:dyDescent="0.2">
      <c r="A51" t="s">
        <v>600</v>
      </c>
      <c r="B51" t="s">
        <v>14</v>
      </c>
      <c r="C51">
        <v>850306006233</v>
      </c>
      <c r="D51" t="s">
        <v>18</v>
      </c>
      <c r="E51">
        <v>1</v>
      </c>
      <c r="F51" s="1">
        <v>20.7</v>
      </c>
      <c r="G51">
        <v>0</v>
      </c>
      <c r="H51" s="1">
        <v>0</v>
      </c>
      <c r="I51" s="1">
        <v>0</v>
      </c>
      <c r="J51" s="1">
        <v>20.7</v>
      </c>
      <c r="K51" s="1">
        <v>0</v>
      </c>
      <c r="L51" s="1">
        <v>20.7</v>
      </c>
      <c r="M51">
        <v>1</v>
      </c>
    </row>
    <row r="52" spans="1:13" x14ac:dyDescent="0.2">
      <c r="A52" t="s">
        <v>601</v>
      </c>
      <c r="B52" t="s">
        <v>14</v>
      </c>
      <c r="C52">
        <v>9327546002154</v>
      </c>
      <c r="D52" t="s">
        <v>18</v>
      </c>
      <c r="E52">
        <v>1</v>
      </c>
      <c r="F52" s="1">
        <v>17.2</v>
      </c>
      <c r="G52">
        <v>0</v>
      </c>
      <c r="H52" s="1">
        <v>0</v>
      </c>
      <c r="I52" s="1">
        <v>0</v>
      </c>
      <c r="J52" s="1">
        <v>17.2</v>
      </c>
      <c r="K52" s="1">
        <v>0</v>
      </c>
      <c r="L52" s="1">
        <v>17.2</v>
      </c>
      <c r="M52">
        <v>1</v>
      </c>
    </row>
    <row r="53" spans="1:13" x14ac:dyDescent="0.2">
      <c r="A53" t="s">
        <v>305</v>
      </c>
      <c r="B53" t="s">
        <v>14</v>
      </c>
      <c r="C53">
        <v>9369999033712</v>
      </c>
      <c r="D53" t="s">
        <v>18</v>
      </c>
      <c r="E53">
        <v>2</v>
      </c>
      <c r="F53" s="1">
        <v>26.5</v>
      </c>
      <c r="G53">
        <v>0</v>
      </c>
      <c r="H53" s="1">
        <v>0</v>
      </c>
      <c r="I53" s="1">
        <v>-1.1599999999999999</v>
      </c>
      <c r="J53" s="1">
        <v>25.34</v>
      </c>
      <c r="K53" s="1">
        <v>0</v>
      </c>
      <c r="L53" s="1">
        <v>25.34</v>
      </c>
      <c r="M53">
        <v>2</v>
      </c>
    </row>
    <row r="54" spans="1:13" x14ac:dyDescent="0.2">
      <c r="A54" t="s">
        <v>745</v>
      </c>
      <c r="B54" t="s">
        <v>14</v>
      </c>
      <c r="C54">
        <v>9347509000027</v>
      </c>
      <c r="D54" t="s">
        <v>31</v>
      </c>
      <c r="E54">
        <v>2</v>
      </c>
      <c r="F54" s="1">
        <v>79</v>
      </c>
      <c r="G54">
        <v>0</v>
      </c>
      <c r="H54" s="1">
        <v>0</v>
      </c>
      <c r="I54" s="1">
        <v>-24.76</v>
      </c>
      <c r="J54" s="1">
        <v>54.24</v>
      </c>
      <c r="K54" s="1">
        <v>0</v>
      </c>
      <c r="L54" s="1">
        <v>54.24</v>
      </c>
      <c r="M54">
        <v>2</v>
      </c>
    </row>
    <row r="55" spans="1:13" x14ac:dyDescent="0.2">
      <c r="A55" t="s">
        <v>949</v>
      </c>
      <c r="B55" t="s">
        <v>14</v>
      </c>
      <c r="C55">
        <v>39978111135</v>
      </c>
      <c r="D55" t="s">
        <v>31</v>
      </c>
      <c r="E55">
        <v>1</v>
      </c>
      <c r="F55" s="1">
        <v>19.5</v>
      </c>
      <c r="G55">
        <v>0</v>
      </c>
      <c r="H55" s="1">
        <v>0</v>
      </c>
      <c r="I55" s="1">
        <v>0</v>
      </c>
      <c r="J55" s="1">
        <v>19.5</v>
      </c>
      <c r="K55" s="1">
        <v>0</v>
      </c>
      <c r="L55" s="1">
        <v>19.5</v>
      </c>
      <c r="M55">
        <v>1</v>
      </c>
    </row>
    <row r="56" spans="1:13" x14ac:dyDescent="0.2">
      <c r="A56" t="s">
        <v>950</v>
      </c>
      <c r="B56" t="s">
        <v>14</v>
      </c>
      <c r="C56">
        <v>39978029539</v>
      </c>
      <c r="D56" t="s">
        <v>31</v>
      </c>
      <c r="E56">
        <v>1</v>
      </c>
      <c r="F56" s="1">
        <v>11.9</v>
      </c>
      <c r="G56">
        <v>0</v>
      </c>
      <c r="H56" s="1">
        <v>0</v>
      </c>
      <c r="I56" s="1">
        <v>0</v>
      </c>
      <c r="J56" s="1">
        <v>11.9</v>
      </c>
      <c r="K56" s="1">
        <v>0</v>
      </c>
      <c r="L56" s="1">
        <v>11.9</v>
      </c>
      <c r="M56">
        <v>1</v>
      </c>
    </row>
    <row r="57" spans="1:13" x14ac:dyDescent="0.2">
      <c r="A57" t="s">
        <v>32</v>
      </c>
      <c r="B57" t="s">
        <v>14</v>
      </c>
      <c r="C57">
        <v>39978013873</v>
      </c>
      <c r="D57" t="s">
        <v>31</v>
      </c>
      <c r="E57">
        <v>1</v>
      </c>
      <c r="F57" s="1">
        <v>24.7</v>
      </c>
      <c r="G57">
        <v>0</v>
      </c>
      <c r="H57" s="1">
        <v>0</v>
      </c>
      <c r="I57" s="1">
        <v>0</v>
      </c>
      <c r="J57" s="1">
        <v>24.7</v>
      </c>
      <c r="K57" s="1">
        <v>0</v>
      </c>
      <c r="L57" s="1">
        <v>24.7</v>
      </c>
      <c r="M57">
        <v>1</v>
      </c>
    </row>
    <row r="58" spans="1:13" x14ac:dyDescent="0.2">
      <c r="A58" t="s">
        <v>951</v>
      </c>
      <c r="B58" t="s">
        <v>14</v>
      </c>
      <c r="C58">
        <v>9415748004301</v>
      </c>
      <c r="D58" t="s">
        <v>31</v>
      </c>
      <c r="E58">
        <v>1</v>
      </c>
      <c r="F58" s="1">
        <v>13.95</v>
      </c>
      <c r="G58">
        <v>0</v>
      </c>
      <c r="H58" s="1">
        <v>0</v>
      </c>
      <c r="I58" s="1">
        <v>0</v>
      </c>
      <c r="J58" s="1">
        <v>13.95</v>
      </c>
      <c r="K58" s="1">
        <v>0</v>
      </c>
      <c r="L58" s="1">
        <v>13.95</v>
      </c>
      <c r="M58">
        <v>1</v>
      </c>
    </row>
    <row r="59" spans="1:13" x14ac:dyDescent="0.2">
      <c r="A59" t="s">
        <v>952</v>
      </c>
      <c r="B59" t="s">
        <v>14</v>
      </c>
      <c r="C59">
        <v>9339337307997</v>
      </c>
      <c r="D59" t="s">
        <v>31</v>
      </c>
      <c r="E59">
        <v>1</v>
      </c>
      <c r="F59" s="1">
        <v>9.4499999999999993</v>
      </c>
      <c r="G59">
        <v>0</v>
      </c>
      <c r="H59" s="1">
        <v>0</v>
      </c>
      <c r="I59" s="1">
        <v>0</v>
      </c>
      <c r="J59" s="1">
        <v>9.4499999999999993</v>
      </c>
      <c r="K59" s="1">
        <v>0</v>
      </c>
      <c r="L59" s="1">
        <v>9.4499999999999993</v>
      </c>
      <c r="M59">
        <v>1</v>
      </c>
    </row>
    <row r="60" spans="1:13" x14ac:dyDescent="0.2">
      <c r="A60" t="s">
        <v>408</v>
      </c>
      <c r="B60" t="s">
        <v>14</v>
      </c>
      <c r="C60">
        <v>9346430000557</v>
      </c>
      <c r="D60" t="s">
        <v>31</v>
      </c>
      <c r="E60">
        <v>1</v>
      </c>
      <c r="F60" s="1">
        <v>18.8</v>
      </c>
      <c r="G60">
        <v>0</v>
      </c>
      <c r="H60" s="1">
        <v>0</v>
      </c>
      <c r="I60" s="1">
        <v>-0.48</v>
      </c>
      <c r="J60" s="1">
        <v>18.32</v>
      </c>
      <c r="K60" s="1">
        <v>0</v>
      </c>
      <c r="L60" s="1">
        <v>18.32</v>
      </c>
      <c r="M60">
        <v>1</v>
      </c>
    </row>
    <row r="61" spans="1:13" x14ac:dyDescent="0.2">
      <c r="A61" t="s">
        <v>953</v>
      </c>
      <c r="B61" t="s">
        <v>14</v>
      </c>
      <c r="C61">
        <v>9321921001176</v>
      </c>
      <c r="D61" t="s">
        <v>31</v>
      </c>
      <c r="E61">
        <v>1</v>
      </c>
      <c r="F61" s="1">
        <v>12.2</v>
      </c>
      <c r="G61">
        <v>0</v>
      </c>
      <c r="H61" s="1">
        <v>0</v>
      </c>
      <c r="I61" s="1">
        <v>0</v>
      </c>
      <c r="J61" s="1">
        <v>12.2</v>
      </c>
      <c r="K61" s="1">
        <v>0</v>
      </c>
      <c r="L61" s="1">
        <v>12.2</v>
      </c>
      <c r="M61">
        <v>1</v>
      </c>
    </row>
    <row r="62" spans="1:13" x14ac:dyDescent="0.2">
      <c r="A62" t="s">
        <v>954</v>
      </c>
      <c r="B62" t="s">
        <v>14</v>
      </c>
      <c r="C62">
        <v>9353707000134</v>
      </c>
      <c r="D62" t="s">
        <v>31</v>
      </c>
      <c r="E62">
        <v>1</v>
      </c>
      <c r="F62" s="1">
        <v>18.95</v>
      </c>
      <c r="G62">
        <v>0</v>
      </c>
      <c r="H62" s="1">
        <v>0</v>
      </c>
      <c r="I62" s="1">
        <v>0</v>
      </c>
      <c r="J62" s="1">
        <v>18.95</v>
      </c>
      <c r="K62" s="1">
        <v>0</v>
      </c>
      <c r="L62" s="1">
        <v>18.95</v>
      </c>
      <c r="M62">
        <v>1</v>
      </c>
    </row>
    <row r="63" spans="1:13" x14ac:dyDescent="0.2">
      <c r="A63" t="s">
        <v>746</v>
      </c>
      <c r="B63" t="s">
        <v>14</v>
      </c>
      <c r="C63">
        <v>9316702001018</v>
      </c>
      <c r="D63" t="s">
        <v>31</v>
      </c>
      <c r="E63">
        <v>1</v>
      </c>
      <c r="F63" s="1">
        <v>6.6</v>
      </c>
      <c r="G63">
        <v>0</v>
      </c>
      <c r="H63" s="1">
        <v>0</v>
      </c>
      <c r="I63" s="1">
        <v>0</v>
      </c>
      <c r="J63" s="1">
        <v>6.6</v>
      </c>
      <c r="K63" s="1">
        <v>0</v>
      </c>
      <c r="L63" s="1">
        <v>6.6</v>
      </c>
      <c r="M63">
        <v>1</v>
      </c>
    </row>
    <row r="64" spans="1:13" x14ac:dyDescent="0.2">
      <c r="A64" t="s">
        <v>955</v>
      </c>
      <c r="B64" t="s">
        <v>14</v>
      </c>
      <c r="C64">
        <v>797776058754</v>
      </c>
      <c r="D64" t="s">
        <v>31</v>
      </c>
      <c r="E64">
        <v>1</v>
      </c>
      <c r="F64" s="1">
        <v>30.45</v>
      </c>
      <c r="G64">
        <v>0</v>
      </c>
      <c r="H64" s="1">
        <v>0</v>
      </c>
      <c r="I64" s="1">
        <v>-6.09</v>
      </c>
      <c r="J64" s="1">
        <v>24.36</v>
      </c>
      <c r="K64" s="1">
        <v>0</v>
      </c>
      <c r="L64" s="1">
        <v>24.36</v>
      </c>
      <c r="M64">
        <v>1</v>
      </c>
    </row>
    <row r="65" spans="1:13" x14ac:dyDescent="0.2">
      <c r="A65" t="s">
        <v>747</v>
      </c>
      <c r="B65" t="s">
        <v>14</v>
      </c>
      <c r="C65">
        <v>9351857000806</v>
      </c>
      <c r="D65" t="s">
        <v>31</v>
      </c>
      <c r="E65">
        <v>2</v>
      </c>
      <c r="F65" s="1">
        <v>23.3</v>
      </c>
      <c r="G65">
        <v>0</v>
      </c>
      <c r="H65" s="1">
        <v>0</v>
      </c>
      <c r="I65" s="1">
        <v>-1.57</v>
      </c>
      <c r="J65" s="1">
        <v>21.73</v>
      </c>
      <c r="K65" s="1">
        <v>2.2000000000000002</v>
      </c>
      <c r="L65" s="1">
        <v>23.93</v>
      </c>
      <c r="M65">
        <v>2</v>
      </c>
    </row>
    <row r="66" spans="1:13" x14ac:dyDescent="0.2">
      <c r="A66" t="s">
        <v>956</v>
      </c>
      <c r="B66" t="s">
        <v>14</v>
      </c>
      <c r="C66">
        <v>9351857001148</v>
      </c>
      <c r="D66" t="s">
        <v>31</v>
      </c>
      <c r="E66">
        <v>2</v>
      </c>
      <c r="F66" s="1">
        <v>32.65</v>
      </c>
      <c r="G66">
        <v>0</v>
      </c>
      <c r="H66" s="1">
        <v>0</v>
      </c>
      <c r="I66" s="1">
        <v>-0.56999999999999995</v>
      </c>
      <c r="J66" s="1">
        <v>32.08</v>
      </c>
      <c r="K66" s="1">
        <v>3.25</v>
      </c>
      <c r="L66" s="1">
        <v>35.33</v>
      </c>
      <c r="M66">
        <v>2</v>
      </c>
    </row>
    <row r="67" spans="1:13" x14ac:dyDescent="0.2">
      <c r="A67" t="s">
        <v>957</v>
      </c>
      <c r="B67" t="s">
        <v>14</v>
      </c>
      <c r="C67">
        <v>9351857001346</v>
      </c>
      <c r="D67" t="s">
        <v>31</v>
      </c>
      <c r="E67">
        <v>1</v>
      </c>
      <c r="F67" s="1">
        <v>25.93</v>
      </c>
      <c r="G67">
        <v>0</v>
      </c>
      <c r="H67" s="1">
        <v>0</v>
      </c>
      <c r="I67" s="1">
        <v>0</v>
      </c>
      <c r="J67" s="1">
        <v>25.93</v>
      </c>
      <c r="K67" s="1">
        <v>2.62</v>
      </c>
      <c r="L67" s="1">
        <v>28.55</v>
      </c>
      <c r="M67">
        <v>1</v>
      </c>
    </row>
    <row r="68" spans="1:13" x14ac:dyDescent="0.2">
      <c r="A68" t="s">
        <v>958</v>
      </c>
      <c r="B68" t="s">
        <v>14</v>
      </c>
      <c r="C68">
        <v>9351857000004</v>
      </c>
      <c r="D68" t="s">
        <v>31</v>
      </c>
      <c r="E68">
        <v>2</v>
      </c>
      <c r="F68" s="1">
        <v>46.7</v>
      </c>
      <c r="G68">
        <v>0</v>
      </c>
      <c r="H68" s="1">
        <v>0</v>
      </c>
      <c r="I68" s="1">
        <v>0</v>
      </c>
      <c r="J68" s="1">
        <v>46.7</v>
      </c>
      <c r="K68" s="1">
        <v>0</v>
      </c>
      <c r="L68" s="1">
        <v>46.7</v>
      </c>
      <c r="M68">
        <v>2</v>
      </c>
    </row>
    <row r="69" spans="1:13" x14ac:dyDescent="0.2">
      <c r="A69" t="s">
        <v>748</v>
      </c>
      <c r="B69" t="s">
        <v>14</v>
      </c>
      <c r="C69">
        <v>9351857000028</v>
      </c>
      <c r="D69" t="s">
        <v>31</v>
      </c>
      <c r="E69">
        <v>1</v>
      </c>
      <c r="F69" s="1">
        <v>24.07</v>
      </c>
      <c r="G69">
        <v>0</v>
      </c>
      <c r="H69" s="1">
        <v>0</v>
      </c>
      <c r="I69" s="1">
        <v>0</v>
      </c>
      <c r="J69" s="1">
        <v>24.07</v>
      </c>
      <c r="K69" s="1">
        <v>2.4300000000000002</v>
      </c>
      <c r="L69" s="1">
        <v>26.5</v>
      </c>
      <c r="M69">
        <v>1</v>
      </c>
    </row>
    <row r="70" spans="1:13" x14ac:dyDescent="0.2">
      <c r="A70" t="s">
        <v>504</v>
      </c>
      <c r="B70" t="s">
        <v>14</v>
      </c>
      <c r="C70">
        <v>58449860020</v>
      </c>
      <c r="D70" t="s">
        <v>31</v>
      </c>
      <c r="E70">
        <v>2</v>
      </c>
      <c r="F70" s="1">
        <v>26.2</v>
      </c>
      <c r="G70">
        <v>0</v>
      </c>
      <c r="H70" s="1">
        <v>0</v>
      </c>
      <c r="I70" s="1">
        <v>-0.32</v>
      </c>
      <c r="J70" s="1">
        <v>25.88</v>
      </c>
      <c r="K70" s="1">
        <v>0</v>
      </c>
      <c r="L70" s="1">
        <v>25.88</v>
      </c>
      <c r="M70">
        <v>2</v>
      </c>
    </row>
    <row r="71" spans="1:13" x14ac:dyDescent="0.2">
      <c r="A71" t="s">
        <v>749</v>
      </c>
      <c r="B71" t="s">
        <v>14</v>
      </c>
      <c r="C71">
        <v>58449860037</v>
      </c>
      <c r="D71" t="s">
        <v>31</v>
      </c>
      <c r="E71">
        <v>1</v>
      </c>
      <c r="F71" s="1">
        <v>13.1</v>
      </c>
      <c r="G71">
        <v>0</v>
      </c>
      <c r="H71" s="1">
        <v>0</v>
      </c>
      <c r="I71" s="1">
        <v>0</v>
      </c>
      <c r="J71" s="1">
        <v>13.1</v>
      </c>
      <c r="K71" s="1">
        <v>0</v>
      </c>
      <c r="L71" s="1">
        <v>13.1</v>
      </c>
      <c r="M71">
        <v>1</v>
      </c>
    </row>
    <row r="72" spans="1:13" x14ac:dyDescent="0.2">
      <c r="A72" t="s">
        <v>750</v>
      </c>
      <c r="B72" t="s">
        <v>14</v>
      </c>
      <c r="C72">
        <v>9361410000051</v>
      </c>
      <c r="D72" t="s">
        <v>33</v>
      </c>
      <c r="E72">
        <v>1</v>
      </c>
      <c r="F72" s="1">
        <v>36.700000000000003</v>
      </c>
      <c r="G72">
        <v>0</v>
      </c>
      <c r="H72" s="1">
        <v>0</v>
      </c>
      <c r="I72" s="1">
        <v>0</v>
      </c>
      <c r="J72" s="1">
        <v>36.700000000000003</v>
      </c>
      <c r="K72" s="1">
        <v>0</v>
      </c>
      <c r="L72" s="1">
        <v>36.700000000000003</v>
      </c>
      <c r="M72">
        <v>1</v>
      </c>
    </row>
    <row r="73" spans="1:13" x14ac:dyDescent="0.2">
      <c r="A73" t="s">
        <v>448</v>
      </c>
      <c r="B73" t="s">
        <v>14</v>
      </c>
      <c r="C73">
        <v>9361410000020</v>
      </c>
      <c r="D73" t="s">
        <v>33</v>
      </c>
      <c r="E73">
        <v>1</v>
      </c>
      <c r="F73" s="1">
        <v>39.65</v>
      </c>
      <c r="G73">
        <v>0</v>
      </c>
      <c r="H73" s="1">
        <v>0</v>
      </c>
      <c r="I73" s="1">
        <v>0</v>
      </c>
      <c r="J73" s="1">
        <v>39.65</v>
      </c>
      <c r="K73" s="1">
        <v>0</v>
      </c>
      <c r="L73" s="1">
        <v>39.65</v>
      </c>
      <c r="M73">
        <v>1</v>
      </c>
    </row>
    <row r="74" spans="1:13" x14ac:dyDescent="0.2">
      <c r="A74" t="s">
        <v>959</v>
      </c>
      <c r="B74" t="s">
        <v>14</v>
      </c>
      <c r="C74">
        <v>797776454372</v>
      </c>
      <c r="D74" t="s">
        <v>33</v>
      </c>
      <c r="E74">
        <v>1</v>
      </c>
      <c r="F74" s="1">
        <v>28.75</v>
      </c>
      <c r="G74">
        <v>0</v>
      </c>
      <c r="H74" s="1">
        <v>0</v>
      </c>
      <c r="I74" s="1">
        <v>0</v>
      </c>
      <c r="J74" s="1">
        <v>28.75</v>
      </c>
      <c r="K74" s="1">
        <v>0</v>
      </c>
      <c r="L74" s="1">
        <v>28.75</v>
      </c>
      <c r="M74">
        <v>1</v>
      </c>
    </row>
    <row r="75" spans="1:13" x14ac:dyDescent="0.2">
      <c r="A75" t="s">
        <v>602</v>
      </c>
      <c r="B75" t="s">
        <v>14</v>
      </c>
      <c r="C75">
        <v>80687474134</v>
      </c>
      <c r="D75" t="s">
        <v>33</v>
      </c>
      <c r="E75">
        <v>1</v>
      </c>
      <c r="F75" s="1">
        <v>17.7</v>
      </c>
      <c r="G75">
        <v>0</v>
      </c>
      <c r="H75" s="1">
        <v>0</v>
      </c>
      <c r="I75" s="1">
        <v>0</v>
      </c>
      <c r="J75" s="1">
        <v>17.7</v>
      </c>
      <c r="K75" s="1">
        <v>0</v>
      </c>
      <c r="L75" s="1">
        <v>17.7</v>
      </c>
      <c r="M75">
        <v>1</v>
      </c>
    </row>
    <row r="76" spans="1:13" x14ac:dyDescent="0.2">
      <c r="A76" t="s">
        <v>960</v>
      </c>
      <c r="B76" t="s">
        <v>14</v>
      </c>
      <c r="C76">
        <v>80687436460</v>
      </c>
      <c r="D76" t="s">
        <v>33</v>
      </c>
      <c r="E76">
        <v>1</v>
      </c>
      <c r="F76" s="1">
        <v>28.75</v>
      </c>
      <c r="G76">
        <v>0</v>
      </c>
      <c r="H76" s="1">
        <v>0</v>
      </c>
      <c r="I76" s="1">
        <v>0</v>
      </c>
      <c r="J76" s="1">
        <v>28.75</v>
      </c>
      <c r="K76" s="1">
        <v>0</v>
      </c>
      <c r="L76" s="1">
        <v>28.75</v>
      </c>
      <c r="M76">
        <v>1</v>
      </c>
    </row>
    <row r="77" spans="1:13" x14ac:dyDescent="0.2">
      <c r="A77" t="s">
        <v>388</v>
      </c>
      <c r="B77" t="s">
        <v>14</v>
      </c>
      <c r="C77">
        <v>80687474141</v>
      </c>
      <c r="D77" t="s">
        <v>33</v>
      </c>
      <c r="E77">
        <v>1</v>
      </c>
      <c r="F77" s="1">
        <v>17.7</v>
      </c>
      <c r="G77">
        <v>0</v>
      </c>
      <c r="H77" s="1">
        <v>0</v>
      </c>
      <c r="I77" s="1">
        <v>0</v>
      </c>
      <c r="J77" s="1">
        <v>17.7</v>
      </c>
      <c r="K77" s="1">
        <v>0</v>
      </c>
      <c r="L77" s="1">
        <v>17.7</v>
      </c>
      <c r="M77">
        <v>1</v>
      </c>
    </row>
    <row r="78" spans="1:13" x14ac:dyDescent="0.2">
      <c r="A78" t="s">
        <v>961</v>
      </c>
      <c r="B78" t="s">
        <v>14</v>
      </c>
      <c r="C78">
        <v>797776454389</v>
      </c>
      <c r="D78" t="s">
        <v>33</v>
      </c>
      <c r="E78">
        <v>1</v>
      </c>
      <c r="F78" s="1">
        <v>17.399999999999999</v>
      </c>
      <c r="G78">
        <v>0</v>
      </c>
      <c r="H78" s="1">
        <v>0</v>
      </c>
      <c r="I78" s="1">
        <v>0</v>
      </c>
      <c r="J78" s="1">
        <v>17.399999999999999</v>
      </c>
      <c r="K78" s="1">
        <v>0</v>
      </c>
      <c r="L78" s="1">
        <v>17.399999999999999</v>
      </c>
      <c r="M78">
        <v>1</v>
      </c>
    </row>
    <row r="79" spans="1:13" x14ac:dyDescent="0.2">
      <c r="A79" t="s">
        <v>449</v>
      </c>
      <c r="B79" t="s">
        <v>14</v>
      </c>
      <c r="C79">
        <v>797776454365</v>
      </c>
      <c r="D79" t="s">
        <v>33</v>
      </c>
      <c r="E79">
        <v>3</v>
      </c>
      <c r="F79" s="1">
        <v>51.9</v>
      </c>
      <c r="G79">
        <v>0</v>
      </c>
      <c r="H79" s="1">
        <v>0</v>
      </c>
      <c r="I79" s="1">
        <v>0</v>
      </c>
      <c r="J79" s="1">
        <v>51.9</v>
      </c>
      <c r="K79" s="1">
        <v>0</v>
      </c>
      <c r="L79" s="1">
        <v>51.9</v>
      </c>
      <c r="M79">
        <v>3</v>
      </c>
    </row>
    <row r="80" spans="1:13" x14ac:dyDescent="0.2">
      <c r="A80" t="s">
        <v>962</v>
      </c>
      <c r="B80" t="s">
        <v>14</v>
      </c>
      <c r="C80">
        <v>797776188024</v>
      </c>
      <c r="D80" t="s">
        <v>33</v>
      </c>
      <c r="E80">
        <v>1</v>
      </c>
      <c r="F80" s="1">
        <v>37.4</v>
      </c>
      <c r="G80">
        <v>0</v>
      </c>
      <c r="H80" s="1">
        <v>0</v>
      </c>
      <c r="I80" s="1">
        <v>0</v>
      </c>
      <c r="J80" s="1">
        <v>37.4</v>
      </c>
      <c r="K80" s="1">
        <v>0</v>
      </c>
      <c r="L80" s="1">
        <v>37.4</v>
      </c>
      <c r="M80">
        <v>1</v>
      </c>
    </row>
    <row r="81" spans="1:13" x14ac:dyDescent="0.2">
      <c r="A81" t="s">
        <v>963</v>
      </c>
      <c r="B81" t="s">
        <v>14</v>
      </c>
      <c r="C81">
        <v>9344081000445</v>
      </c>
      <c r="D81" t="s">
        <v>33</v>
      </c>
      <c r="E81">
        <v>1</v>
      </c>
      <c r="F81" s="1">
        <v>20.9</v>
      </c>
      <c r="G81">
        <v>0</v>
      </c>
      <c r="H81" s="1">
        <v>0</v>
      </c>
      <c r="I81" s="1">
        <v>0</v>
      </c>
      <c r="J81" s="1">
        <v>20.9</v>
      </c>
      <c r="K81" s="1">
        <v>0</v>
      </c>
      <c r="L81" s="1">
        <v>20.9</v>
      </c>
      <c r="M81">
        <v>1</v>
      </c>
    </row>
    <row r="82" spans="1:13" x14ac:dyDescent="0.2">
      <c r="A82" t="s">
        <v>964</v>
      </c>
      <c r="B82" t="s">
        <v>14</v>
      </c>
      <c r="C82">
        <v>9344081000421</v>
      </c>
      <c r="D82" t="s">
        <v>33</v>
      </c>
      <c r="E82">
        <v>1</v>
      </c>
      <c r="F82" s="1">
        <v>22</v>
      </c>
      <c r="G82">
        <v>0</v>
      </c>
      <c r="H82" s="1">
        <v>0</v>
      </c>
      <c r="I82" s="1">
        <v>0</v>
      </c>
      <c r="J82" s="1">
        <v>22</v>
      </c>
      <c r="K82" s="1">
        <v>0</v>
      </c>
      <c r="L82" s="1">
        <v>22</v>
      </c>
      <c r="M82">
        <v>1</v>
      </c>
    </row>
    <row r="83" spans="1:13" x14ac:dyDescent="0.2">
      <c r="A83" t="s">
        <v>603</v>
      </c>
      <c r="B83" t="s">
        <v>14</v>
      </c>
      <c r="C83">
        <v>784927404126</v>
      </c>
      <c r="D83" t="s">
        <v>33</v>
      </c>
      <c r="E83">
        <v>1</v>
      </c>
      <c r="F83" s="1">
        <v>17</v>
      </c>
      <c r="G83">
        <v>0</v>
      </c>
      <c r="H83" s="1">
        <v>0</v>
      </c>
      <c r="I83" s="1">
        <v>0</v>
      </c>
      <c r="J83" s="1">
        <v>17</v>
      </c>
      <c r="K83" s="1">
        <v>0</v>
      </c>
      <c r="L83" s="1">
        <v>17</v>
      </c>
      <c r="M83">
        <v>1</v>
      </c>
    </row>
    <row r="84" spans="1:13" x14ac:dyDescent="0.2">
      <c r="A84" t="s">
        <v>965</v>
      </c>
      <c r="B84" t="s">
        <v>14</v>
      </c>
      <c r="C84">
        <v>702382585280</v>
      </c>
      <c r="D84" t="s">
        <v>33</v>
      </c>
      <c r="E84">
        <v>1</v>
      </c>
      <c r="F84" s="1">
        <v>24.4</v>
      </c>
      <c r="G84">
        <v>0</v>
      </c>
      <c r="H84" s="1">
        <v>0</v>
      </c>
      <c r="I84" s="1">
        <v>0</v>
      </c>
      <c r="J84" s="1">
        <v>24.4</v>
      </c>
      <c r="K84" s="1">
        <v>0</v>
      </c>
      <c r="L84" s="1">
        <v>24.4</v>
      </c>
      <c r="M84">
        <v>1</v>
      </c>
    </row>
    <row r="85" spans="1:13" x14ac:dyDescent="0.2">
      <c r="A85" t="s">
        <v>604</v>
      </c>
      <c r="B85" t="s">
        <v>14</v>
      </c>
      <c r="C85">
        <v>9351857006020</v>
      </c>
      <c r="D85" t="s">
        <v>34</v>
      </c>
      <c r="E85">
        <v>1</v>
      </c>
      <c r="F85" s="1">
        <v>15.9</v>
      </c>
      <c r="G85">
        <v>0</v>
      </c>
      <c r="H85" s="1">
        <v>0</v>
      </c>
      <c r="I85" s="1">
        <v>0</v>
      </c>
      <c r="J85" s="1">
        <v>15.9</v>
      </c>
      <c r="K85" s="1">
        <v>0</v>
      </c>
      <c r="L85" s="1">
        <v>15.9</v>
      </c>
      <c r="M85">
        <v>1</v>
      </c>
    </row>
    <row r="86" spans="1:13" x14ac:dyDescent="0.2">
      <c r="A86" t="s">
        <v>966</v>
      </c>
      <c r="B86" t="s">
        <v>14</v>
      </c>
      <c r="C86">
        <v>9421903648006</v>
      </c>
      <c r="D86" t="s">
        <v>34</v>
      </c>
      <c r="E86">
        <v>1</v>
      </c>
      <c r="F86" s="1">
        <v>12.49</v>
      </c>
      <c r="G86">
        <v>0</v>
      </c>
      <c r="H86" s="1">
        <v>0</v>
      </c>
      <c r="I86" s="1">
        <v>0</v>
      </c>
      <c r="J86" s="1">
        <v>12.49</v>
      </c>
      <c r="K86" s="1">
        <v>1.26</v>
      </c>
      <c r="L86" s="1">
        <v>13.75</v>
      </c>
      <c r="M86">
        <v>1</v>
      </c>
    </row>
    <row r="87" spans="1:13" x14ac:dyDescent="0.2">
      <c r="A87" t="s">
        <v>35</v>
      </c>
      <c r="B87" t="s">
        <v>751</v>
      </c>
      <c r="C87">
        <v>3909534</v>
      </c>
      <c r="D87" t="s">
        <v>36</v>
      </c>
      <c r="E87">
        <v>5</v>
      </c>
      <c r="F87" s="1">
        <v>15.12</v>
      </c>
      <c r="G87">
        <v>0</v>
      </c>
      <c r="H87" s="1">
        <v>0</v>
      </c>
      <c r="I87" s="1">
        <v>-6.5</v>
      </c>
      <c r="J87" s="1">
        <v>8.6199999999999992</v>
      </c>
      <c r="K87" s="1">
        <v>0.88</v>
      </c>
      <c r="L87" s="1">
        <v>9.5</v>
      </c>
      <c r="M87">
        <v>5</v>
      </c>
    </row>
    <row r="88" spans="1:13" x14ac:dyDescent="0.2">
      <c r="A88" t="s">
        <v>35</v>
      </c>
      <c r="B88" t="s">
        <v>605</v>
      </c>
      <c r="C88">
        <v>5196823</v>
      </c>
      <c r="D88" t="s">
        <v>36</v>
      </c>
      <c r="E88">
        <v>2</v>
      </c>
      <c r="F88" s="1">
        <v>16.350000000000001</v>
      </c>
      <c r="G88">
        <v>0</v>
      </c>
      <c r="H88" s="1">
        <v>0</v>
      </c>
      <c r="I88" s="1">
        <v>0</v>
      </c>
      <c r="J88" s="1">
        <v>16.350000000000001</v>
      </c>
      <c r="K88" s="1">
        <v>1.65</v>
      </c>
      <c r="L88" s="1">
        <v>18</v>
      </c>
      <c r="M88">
        <v>2</v>
      </c>
    </row>
    <row r="89" spans="1:13" x14ac:dyDescent="0.2">
      <c r="A89" t="s">
        <v>35</v>
      </c>
      <c r="B89" t="s">
        <v>37</v>
      </c>
      <c r="C89" t="s">
        <v>38</v>
      </c>
      <c r="D89" t="s">
        <v>36</v>
      </c>
      <c r="E89">
        <v>41</v>
      </c>
      <c r="F89" s="1">
        <v>231.97</v>
      </c>
      <c r="G89">
        <v>0</v>
      </c>
      <c r="H89" s="1">
        <v>0</v>
      </c>
      <c r="I89" s="1">
        <v>-3.92</v>
      </c>
      <c r="J89" s="1">
        <v>228.05</v>
      </c>
      <c r="K89" s="1">
        <v>23.03</v>
      </c>
      <c r="L89" s="1">
        <v>251.08</v>
      </c>
      <c r="M89">
        <v>41</v>
      </c>
    </row>
    <row r="90" spans="1:13" x14ac:dyDescent="0.2">
      <c r="A90" t="s">
        <v>35</v>
      </c>
      <c r="B90" t="s">
        <v>606</v>
      </c>
      <c r="C90" t="s">
        <v>607</v>
      </c>
      <c r="D90" t="s">
        <v>36</v>
      </c>
      <c r="E90">
        <v>1</v>
      </c>
      <c r="F90" s="1">
        <v>4.99</v>
      </c>
      <c r="G90">
        <v>0</v>
      </c>
      <c r="H90" s="1">
        <v>0</v>
      </c>
      <c r="I90" s="1">
        <v>0</v>
      </c>
      <c r="J90" s="1">
        <v>4.99</v>
      </c>
      <c r="K90" s="1">
        <v>0.51</v>
      </c>
      <c r="L90" s="1">
        <v>5.5</v>
      </c>
      <c r="M90">
        <v>1</v>
      </c>
    </row>
    <row r="91" spans="1:13" x14ac:dyDescent="0.2">
      <c r="A91" t="s">
        <v>35</v>
      </c>
      <c r="B91" t="s">
        <v>450</v>
      </c>
      <c r="C91">
        <v>8542257</v>
      </c>
      <c r="D91" t="s">
        <v>36</v>
      </c>
      <c r="E91">
        <v>6</v>
      </c>
      <c r="F91" s="1">
        <v>29.06</v>
      </c>
      <c r="G91">
        <v>0</v>
      </c>
      <c r="H91" s="1">
        <v>0</v>
      </c>
      <c r="I91" s="1">
        <v>0</v>
      </c>
      <c r="J91" s="1">
        <v>29.06</v>
      </c>
      <c r="K91" s="1">
        <v>2.94</v>
      </c>
      <c r="L91" s="1">
        <v>32</v>
      </c>
      <c r="M91">
        <v>6</v>
      </c>
    </row>
    <row r="92" spans="1:13" x14ac:dyDescent="0.2">
      <c r="A92" t="s">
        <v>35</v>
      </c>
      <c r="B92" t="s">
        <v>39</v>
      </c>
      <c r="C92">
        <v>7426628</v>
      </c>
      <c r="D92" t="s">
        <v>36</v>
      </c>
      <c r="E92">
        <v>45</v>
      </c>
      <c r="F92" s="1">
        <v>248.4</v>
      </c>
      <c r="G92">
        <v>0</v>
      </c>
      <c r="H92" s="1">
        <v>0</v>
      </c>
      <c r="I92" s="1">
        <v>-0.5</v>
      </c>
      <c r="J92" s="1">
        <v>247.9</v>
      </c>
      <c r="K92" s="1">
        <v>25.1</v>
      </c>
      <c r="L92" s="1">
        <v>273</v>
      </c>
      <c r="M92">
        <v>45</v>
      </c>
    </row>
    <row r="93" spans="1:13" x14ac:dyDescent="0.2">
      <c r="A93" t="s">
        <v>35</v>
      </c>
      <c r="B93" t="s">
        <v>42</v>
      </c>
      <c r="C93" t="s">
        <v>43</v>
      </c>
      <c r="D93" t="s">
        <v>36</v>
      </c>
      <c r="E93">
        <v>20</v>
      </c>
      <c r="F93" s="1">
        <v>112.14</v>
      </c>
      <c r="G93">
        <v>-1</v>
      </c>
      <c r="H93" s="1">
        <v>-6.36</v>
      </c>
      <c r="I93" s="1">
        <v>0</v>
      </c>
      <c r="J93" s="1">
        <v>105.78</v>
      </c>
      <c r="K93" s="1">
        <v>10.72</v>
      </c>
      <c r="L93" s="1">
        <v>116.5</v>
      </c>
      <c r="M93">
        <v>20</v>
      </c>
    </row>
    <row r="94" spans="1:13" x14ac:dyDescent="0.2">
      <c r="A94" t="s">
        <v>35</v>
      </c>
      <c r="B94" t="s">
        <v>44</v>
      </c>
      <c r="C94" t="s">
        <v>45</v>
      </c>
      <c r="D94" t="s">
        <v>36</v>
      </c>
      <c r="E94">
        <v>11</v>
      </c>
      <c r="F94" s="1">
        <v>59.45</v>
      </c>
      <c r="G94">
        <v>0</v>
      </c>
      <c r="H94" s="1">
        <v>0</v>
      </c>
      <c r="I94" s="1">
        <v>0</v>
      </c>
      <c r="J94" s="1">
        <v>59.45</v>
      </c>
      <c r="K94" s="1">
        <v>6.05</v>
      </c>
      <c r="L94" s="1">
        <v>65.5</v>
      </c>
      <c r="M94">
        <v>11</v>
      </c>
    </row>
    <row r="95" spans="1:13" x14ac:dyDescent="0.2">
      <c r="A95" t="s">
        <v>35</v>
      </c>
      <c r="B95" t="s">
        <v>752</v>
      </c>
      <c r="C95" t="s">
        <v>753</v>
      </c>
      <c r="D95" t="s">
        <v>36</v>
      </c>
      <c r="E95">
        <v>1</v>
      </c>
      <c r="F95" s="1">
        <v>4.99</v>
      </c>
      <c r="G95">
        <v>0</v>
      </c>
      <c r="H95" s="1">
        <v>0</v>
      </c>
      <c r="I95" s="1">
        <v>0</v>
      </c>
      <c r="J95" s="1">
        <v>4.99</v>
      </c>
      <c r="K95" s="1">
        <v>0.51</v>
      </c>
      <c r="L95" s="1">
        <v>5.5</v>
      </c>
      <c r="M95">
        <v>1</v>
      </c>
    </row>
    <row r="96" spans="1:13" x14ac:dyDescent="0.2">
      <c r="A96" t="s">
        <v>35</v>
      </c>
      <c r="B96" t="s">
        <v>46</v>
      </c>
      <c r="C96" t="s">
        <v>41</v>
      </c>
      <c r="D96" t="s">
        <v>36</v>
      </c>
      <c r="E96">
        <v>2</v>
      </c>
      <c r="F96" s="1">
        <v>12.71</v>
      </c>
      <c r="G96">
        <v>0</v>
      </c>
      <c r="H96" s="1">
        <v>0</v>
      </c>
      <c r="I96" s="1">
        <v>0</v>
      </c>
      <c r="J96" s="1">
        <v>12.71</v>
      </c>
      <c r="K96" s="1">
        <v>1.29</v>
      </c>
      <c r="L96" s="1">
        <v>14</v>
      </c>
      <c r="M96">
        <v>2</v>
      </c>
    </row>
    <row r="97" spans="1:13" x14ac:dyDescent="0.2">
      <c r="A97" t="s">
        <v>35</v>
      </c>
      <c r="B97" t="s">
        <v>47</v>
      </c>
      <c r="C97" t="s">
        <v>48</v>
      </c>
      <c r="D97" t="s">
        <v>36</v>
      </c>
      <c r="E97">
        <v>7</v>
      </c>
      <c r="F97" s="1">
        <v>35.47</v>
      </c>
      <c r="G97">
        <v>0</v>
      </c>
      <c r="H97" s="1">
        <v>0</v>
      </c>
      <c r="I97" s="1">
        <v>-0.67</v>
      </c>
      <c r="J97" s="1">
        <v>34.799999999999997</v>
      </c>
      <c r="K97" s="1">
        <v>3.53</v>
      </c>
      <c r="L97" s="1">
        <v>38.33</v>
      </c>
      <c r="M97">
        <v>7</v>
      </c>
    </row>
    <row r="98" spans="1:13" x14ac:dyDescent="0.2">
      <c r="A98" t="s">
        <v>49</v>
      </c>
      <c r="B98" t="s">
        <v>62</v>
      </c>
      <c r="C98" t="s">
        <v>409</v>
      </c>
      <c r="D98" t="s">
        <v>36</v>
      </c>
      <c r="E98">
        <v>23</v>
      </c>
      <c r="F98" s="1">
        <v>174.68</v>
      </c>
      <c r="G98">
        <v>0</v>
      </c>
      <c r="H98" s="1">
        <v>0</v>
      </c>
      <c r="I98" s="1">
        <v>0</v>
      </c>
      <c r="J98" s="1">
        <v>174.68</v>
      </c>
      <c r="K98" s="1">
        <v>17.670000000000002</v>
      </c>
      <c r="L98" s="1">
        <v>192.35</v>
      </c>
      <c r="M98">
        <v>23</v>
      </c>
    </row>
    <row r="99" spans="1:13" x14ac:dyDescent="0.2">
      <c r="A99" t="s">
        <v>49</v>
      </c>
      <c r="B99" t="s">
        <v>367</v>
      </c>
      <c r="C99">
        <v>9033117</v>
      </c>
      <c r="D99" t="s">
        <v>36</v>
      </c>
      <c r="E99">
        <v>3</v>
      </c>
      <c r="F99" s="1">
        <v>19.98</v>
      </c>
      <c r="G99">
        <v>0</v>
      </c>
      <c r="H99" s="1">
        <v>0</v>
      </c>
      <c r="I99" s="1">
        <v>0</v>
      </c>
      <c r="J99" s="1">
        <v>19.98</v>
      </c>
      <c r="K99" s="1">
        <v>2.02</v>
      </c>
      <c r="L99" s="1">
        <v>22</v>
      </c>
      <c r="M99">
        <v>3</v>
      </c>
    </row>
    <row r="100" spans="1:13" x14ac:dyDescent="0.2">
      <c r="A100" t="s">
        <v>49</v>
      </c>
      <c r="B100" t="s">
        <v>451</v>
      </c>
      <c r="C100" t="s">
        <v>452</v>
      </c>
      <c r="D100" t="s">
        <v>36</v>
      </c>
      <c r="E100">
        <v>27</v>
      </c>
      <c r="F100" s="1">
        <v>197.45</v>
      </c>
      <c r="G100">
        <v>0</v>
      </c>
      <c r="H100" s="1">
        <v>0</v>
      </c>
      <c r="I100" s="1">
        <v>-2.73</v>
      </c>
      <c r="J100" s="1">
        <v>194.72</v>
      </c>
      <c r="K100" s="1">
        <v>19.7</v>
      </c>
      <c r="L100" s="1">
        <v>214.42</v>
      </c>
      <c r="M100">
        <v>27</v>
      </c>
    </row>
    <row r="101" spans="1:13" x14ac:dyDescent="0.2">
      <c r="A101" t="s">
        <v>49</v>
      </c>
      <c r="B101" t="s">
        <v>50</v>
      </c>
      <c r="C101" t="s">
        <v>51</v>
      </c>
      <c r="D101" t="s">
        <v>36</v>
      </c>
      <c r="E101">
        <v>38</v>
      </c>
      <c r="F101" s="1">
        <v>263.63</v>
      </c>
      <c r="G101">
        <v>0</v>
      </c>
      <c r="H101" s="1">
        <v>0</v>
      </c>
      <c r="I101" s="1">
        <v>-2.8</v>
      </c>
      <c r="J101" s="1">
        <v>260.83</v>
      </c>
      <c r="K101" s="1">
        <v>26.37</v>
      </c>
      <c r="L101" s="1">
        <v>287.2</v>
      </c>
      <c r="M101">
        <v>38</v>
      </c>
    </row>
    <row r="102" spans="1:13" x14ac:dyDescent="0.2">
      <c r="A102" t="s">
        <v>49</v>
      </c>
      <c r="B102" t="s">
        <v>306</v>
      </c>
      <c r="C102">
        <v>3319750</v>
      </c>
      <c r="D102" t="s">
        <v>36</v>
      </c>
      <c r="E102">
        <v>6</v>
      </c>
      <c r="F102" s="1">
        <v>36.46</v>
      </c>
      <c r="G102">
        <v>0</v>
      </c>
      <c r="H102" s="1">
        <v>0</v>
      </c>
      <c r="I102" s="1">
        <v>-1.3</v>
      </c>
      <c r="J102" s="1">
        <v>35.159999999999997</v>
      </c>
      <c r="K102" s="1">
        <v>3.54</v>
      </c>
      <c r="L102" s="1">
        <v>38.700000000000003</v>
      </c>
      <c r="M102">
        <v>6</v>
      </c>
    </row>
    <row r="103" spans="1:13" x14ac:dyDescent="0.2">
      <c r="A103" t="s">
        <v>49</v>
      </c>
      <c r="B103" t="s">
        <v>52</v>
      </c>
      <c r="C103" t="s">
        <v>53</v>
      </c>
      <c r="D103" t="s">
        <v>36</v>
      </c>
      <c r="E103">
        <v>41</v>
      </c>
      <c r="F103" s="1">
        <v>305.72000000000003</v>
      </c>
      <c r="G103">
        <v>0</v>
      </c>
      <c r="H103" s="1">
        <v>0</v>
      </c>
      <c r="I103" s="1">
        <v>-7.09</v>
      </c>
      <c r="J103" s="1">
        <v>298.63</v>
      </c>
      <c r="K103" s="1">
        <v>30.13</v>
      </c>
      <c r="L103" s="1">
        <v>328.76</v>
      </c>
      <c r="M103">
        <v>41</v>
      </c>
    </row>
    <row r="104" spans="1:13" x14ac:dyDescent="0.2">
      <c r="A104" t="s">
        <v>49</v>
      </c>
      <c r="B104" t="s">
        <v>505</v>
      </c>
      <c r="C104" t="s">
        <v>506</v>
      </c>
      <c r="D104" t="s">
        <v>36</v>
      </c>
      <c r="E104">
        <v>4</v>
      </c>
      <c r="F104" s="1">
        <v>26.65</v>
      </c>
      <c r="G104">
        <v>0</v>
      </c>
      <c r="H104" s="1">
        <v>0</v>
      </c>
      <c r="I104" s="1">
        <v>0</v>
      </c>
      <c r="J104" s="1">
        <v>26.65</v>
      </c>
      <c r="K104" s="1">
        <v>2.7</v>
      </c>
      <c r="L104" s="1">
        <v>29.35</v>
      </c>
      <c r="M104">
        <v>4</v>
      </c>
    </row>
    <row r="105" spans="1:13" x14ac:dyDescent="0.2">
      <c r="A105" t="s">
        <v>49</v>
      </c>
      <c r="B105" t="s">
        <v>410</v>
      </c>
      <c r="C105" t="s">
        <v>411</v>
      </c>
      <c r="D105" t="s">
        <v>36</v>
      </c>
      <c r="E105">
        <v>3</v>
      </c>
      <c r="F105" s="1">
        <v>20.03</v>
      </c>
      <c r="G105">
        <v>0</v>
      </c>
      <c r="H105" s="1">
        <v>0</v>
      </c>
      <c r="I105" s="1">
        <v>-1.4</v>
      </c>
      <c r="J105" s="1">
        <v>18.63</v>
      </c>
      <c r="K105" s="1">
        <v>1.87</v>
      </c>
      <c r="L105" s="1">
        <v>20.5</v>
      </c>
      <c r="M105">
        <v>3</v>
      </c>
    </row>
    <row r="106" spans="1:13" x14ac:dyDescent="0.2">
      <c r="A106" t="s">
        <v>49</v>
      </c>
      <c r="B106" t="s">
        <v>608</v>
      </c>
      <c r="C106" t="s">
        <v>609</v>
      </c>
      <c r="D106" t="s">
        <v>36</v>
      </c>
      <c r="E106">
        <v>3</v>
      </c>
      <c r="F106" s="1">
        <v>23.93</v>
      </c>
      <c r="G106">
        <v>0</v>
      </c>
      <c r="H106" s="1">
        <v>0</v>
      </c>
      <c r="I106" s="1">
        <v>0</v>
      </c>
      <c r="J106" s="1">
        <v>23.93</v>
      </c>
      <c r="K106" s="1">
        <v>2.42</v>
      </c>
      <c r="L106" s="1">
        <v>26.35</v>
      </c>
      <c r="M106">
        <v>3</v>
      </c>
    </row>
    <row r="107" spans="1:13" x14ac:dyDescent="0.2">
      <c r="A107" t="s">
        <v>412</v>
      </c>
      <c r="B107" t="s">
        <v>14</v>
      </c>
      <c r="C107">
        <v>8632208</v>
      </c>
      <c r="D107" t="s">
        <v>36</v>
      </c>
      <c r="E107">
        <v>14</v>
      </c>
      <c r="F107" s="1">
        <v>203</v>
      </c>
      <c r="G107">
        <v>0</v>
      </c>
      <c r="H107" s="1">
        <v>0</v>
      </c>
      <c r="I107" s="1">
        <v>-2.54</v>
      </c>
      <c r="J107" s="1">
        <v>200.46</v>
      </c>
      <c r="K107" s="1">
        <v>0</v>
      </c>
      <c r="L107" s="1">
        <v>200.46</v>
      </c>
      <c r="M107">
        <v>14</v>
      </c>
    </row>
    <row r="108" spans="1:13" x14ac:dyDescent="0.2">
      <c r="A108" t="s">
        <v>413</v>
      </c>
      <c r="B108" t="s">
        <v>14</v>
      </c>
      <c r="C108" t="s">
        <v>325</v>
      </c>
      <c r="D108" t="s">
        <v>36</v>
      </c>
      <c r="E108">
        <v>23</v>
      </c>
      <c r="F108" s="1">
        <v>322</v>
      </c>
      <c r="G108">
        <v>0</v>
      </c>
      <c r="H108" s="1">
        <v>0</v>
      </c>
      <c r="I108" s="1">
        <v>-10.42</v>
      </c>
      <c r="J108" s="1">
        <v>311.58</v>
      </c>
      <c r="K108" s="1">
        <v>0</v>
      </c>
      <c r="L108" s="1">
        <v>311.58</v>
      </c>
      <c r="M108">
        <v>23</v>
      </c>
    </row>
    <row r="109" spans="1:13" x14ac:dyDescent="0.2">
      <c r="A109" t="s">
        <v>54</v>
      </c>
      <c r="B109" t="s">
        <v>384</v>
      </c>
      <c r="C109">
        <v>5753591</v>
      </c>
      <c r="D109" t="s">
        <v>36</v>
      </c>
      <c r="E109">
        <v>13</v>
      </c>
      <c r="F109" s="1">
        <v>77.709999999999994</v>
      </c>
      <c r="G109">
        <v>0</v>
      </c>
      <c r="H109" s="1">
        <v>0</v>
      </c>
      <c r="I109" s="1">
        <v>-1.1000000000000001</v>
      </c>
      <c r="J109" s="1">
        <v>76.61</v>
      </c>
      <c r="K109" s="1">
        <v>7.79</v>
      </c>
      <c r="L109" s="1">
        <v>84.4</v>
      </c>
      <c r="M109">
        <v>13</v>
      </c>
    </row>
    <row r="110" spans="1:13" x14ac:dyDescent="0.2">
      <c r="A110" t="s">
        <v>54</v>
      </c>
      <c r="B110" t="s">
        <v>61</v>
      </c>
      <c r="C110">
        <v>6505594</v>
      </c>
      <c r="D110" t="s">
        <v>36</v>
      </c>
      <c r="E110">
        <v>7</v>
      </c>
      <c r="F110" s="1">
        <v>51.35</v>
      </c>
      <c r="G110">
        <v>0</v>
      </c>
      <c r="H110" s="1">
        <v>0</v>
      </c>
      <c r="I110" s="1">
        <v>-5.29</v>
      </c>
      <c r="J110" s="1">
        <v>46.06</v>
      </c>
      <c r="K110" s="1">
        <v>4.6500000000000004</v>
      </c>
      <c r="L110" s="1">
        <v>50.71</v>
      </c>
      <c r="M110">
        <v>7</v>
      </c>
    </row>
    <row r="111" spans="1:13" x14ac:dyDescent="0.2">
      <c r="A111" t="s">
        <v>54</v>
      </c>
      <c r="B111" t="s">
        <v>40</v>
      </c>
      <c r="C111" t="s">
        <v>55</v>
      </c>
      <c r="D111" t="s">
        <v>36</v>
      </c>
      <c r="E111">
        <v>13</v>
      </c>
      <c r="F111" s="1">
        <v>74.45</v>
      </c>
      <c r="G111">
        <v>0</v>
      </c>
      <c r="H111" s="1">
        <v>0</v>
      </c>
      <c r="I111" s="1">
        <v>0</v>
      </c>
      <c r="J111" s="1">
        <v>74.45</v>
      </c>
      <c r="K111" s="1">
        <v>7.55</v>
      </c>
      <c r="L111" s="1">
        <v>82</v>
      </c>
      <c r="M111">
        <v>13</v>
      </c>
    </row>
    <row r="112" spans="1:13" x14ac:dyDescent="0.2">
      <c r="A112" t="s">
        <v>54</v>
      </c>
      <c r="B112" t="s">
        <v>56</v>
      </c>
      <c r="C112" t="s">
        <v>57</v>
      </c>
      <c r="D112" t="s">
        <v>36</v>
      </c>
      <c r="E112">
        <v>14</v>
      </c>
      <c r="F112" s="1">
        <v>93.88</v>
      </c>
      <c r="G112">
        <v>0</v>
      </c>
      <c r="H112" s="1">
        <v>0</v>
      </c>
      <c r="I112" s="1">
        <v>-8.4</v>
      </c>
      <c r="J112" s="1">
        <v>85.48</v>
      </c>
      <c r="K112" s="1">
        <v>8.6199999999999992</v>
      </c>
      <c r="L112" s="1">
        <v>94.1</v>
      </c>
      <c r="M112">
        <v>14</v>
      </c>
    </row>
    <row r="113" spans="1:13" x14ac:dyDescent="0.2">
      <c r="A113" t="s">
        <v>54</v>
      </c>
      <c r="B113" t="s">
        <v>58</v>
      </c>
      <c r="C113">
        <v>6305179</v>
      </c>
      <c r="D113" t="s">
        <v>36</v>
      </c>
      <c r="E113">
        <v>13</v>
      </c>
      <c r="F113" s="1">
        <v>96.74</v>
      </c>
      <c r="G113">
        <v>0</v>
      </c>
      <c r="H113" s="1">
        <v>0</v>
      </c>
      <c r="I113" s="1">
        <v>-5</v>
      </c>
      <c r="J113" s="1">
        <v>91.74</v>
      </c>
      <c r="K113" s="1">
        <v>9.26</v>
      </c>
      <c r="L113" s="1">
        <v>101</v>
      </c>
      <c r="M113">
        <v>13</v>
      </c>
    </row>
    <row r="114" spans="1:13" x14ac:dyDescent="0.2">
      <c r="A114" t="s">
        <v>54</v>
      </c>
      <c r="B114" t="s">
        <v>59</v>
      </c>
      <c r="C114" t="s">
        <v>60</v>
      </c>
      <c r="D114" t="s">
        <v>36</v>
      </c>
      <c r="E114">
        <v>8</v>
      </c>
      <c r="F114" s="1">
        <v>52.46</v>
      </c>
      <c r="G114">
        <v>0</v>
      </c>
      <c r="H114" s="1">
        <v>0</v>
      </c>
      <c r="I114" s="1">
        <v>-2.41</v>
      </c>
      <c r="J114" s="1">
        <v>50.05</v>
      </c>
      <c r="K114" s="1">
        <v>5.04</v>
      </c>
      <c r="L114" s="1">
        <v>55.09</v>
      </c>
      <c r="M114">
        <v>8</v>
      </c>
    </row>
    <row r="115" spans="1:13" x14ac:dyDescent="0.2">
      <c r="A115" t="s">
        <v>63</v>
      </c>
      <c r="B115" t="s">
        <v>967</v>
      </c>
      <c r="C115" t="s">
        <v>968</v>
      </c>
      <c r="D115" t="s">
        <v>36</v>
      </c>
      <c r="E115">
        <v>1</v>
      </c>
      <c r="F115" s="1">
        <v>4.54</v>
      </c>
      <c r="G115">
        <v>0</v>
      </c>
      <c r="H115" s="1">
        <v>0</v>
      </c>
      <c r="I115" s="1">
        <v>0</v>
      </c>
      <c r="J115" s="1">
        <v>4.54</v>
      </c>
      <c r="K115" s="1">
        <v>0.46</v>
      </c>
      <c r="L115" s="1">
        <v>5</v>
      </c>
      <c r="M115">
        <v>1</v>
      </c>
    </row>
    <row r="116" spans="1:13" x14ac:dyDescent="0.2">
      <c r="A116" t="s">
        <v>63</v>
      </c>
      <c r="B116" t="s">
        <v>64</v>
      </c>
      <c r="C116">
        <v>6769779</v>
      </c>
      <c r="D116" t="s">
        <v>36</v>
      </c>
      <c r="E116">
        <v>6</v>
      </c>
      <c r="F116" s="1">
        <v>27.24</v>
      </c>
      <c r="G116">
        <v>0</v>
      </c>
      <c r="H116" s="1">
        <v>0</v>
      </c>
      <c r="I116" s="1">
        <v>0</v>
      </c>
      <c r="J116" s="1">
        <v>27.24</v>
      </c>
      <c r="K116" s="1">
        <v>2.76</v>
      </c>
      <c r="L116" s="1">
        <v>30</v>
      </c>
      <c r="M116">
        <v>6</v>
      </c>
    </row>
    <row r="117" spans="1:13" x14ac:dyDescent="0.2">
      <c r="A117" t="s">
        <v>63</v>
      </c>
      <c r="B117" t="s">
        <v>754</v>
      </c>
      <c r="C117">
        <v>4245866</v>
      </c>
      <c r="D117" t="s">
        <v>36</v>
      </c>
      <c r="E117">
        <v>1</v>
      </c>
      <c r="F117" s="1">
        <v>4.54</v>
      </c>
      <c r="G117">
        <v>0</v>
      </c>
      <c r="H117" s="1">
        <v>0</v>
      </c>
      <c r="I117" s="1">
        <v>0</v>
      </c>
      <c r="J117" s="1">
        <v>4.54</v>
      </c>
      <c r="K117" s="1">
        <v>0.46</v>
      </c>
      <c r="L117" s="1">
        <v>5</v>
      </c>
      <c r="M117">
        <v>1</v>
      </c>
    </row>
    <row r="118" spans="1:13" x14ac:dyDescent="0.2">
      <c r="A118" t="s">
        <v>969</v>
      </c>
      <c r="B118" t="s">
        <v>14</v>
      </c>
      <c r="C118">
        <v>9316131504500</v>
      </c>
      <c r="D118" t="s">
        <v>65</v>
      </c>
      <c r="E118">
        <v>3</v>
      </c>
      <c r="F118" s="1">
        <v>18.39</v>
      </c>
      <c r="G118">
        <v>0</v>
      </c>
      <c r="H118" s="1">
        <v>0</v>
      </c>
      <c r="I118" s="1">
        <v>0</v>
      </c>
      <c r="J118" s="1">
        <v>18.39</v>
      </c>
      <c r="K118" s="1">
        <v>1.86</v>
      </c>
      <c r="L118" s="1">
        <v>20.25</v>
      </c>
      <c r="M118">
        <v>3</v>
      </c>
    </row>
    <row r="119" spans="1:13" x14ac:dyDescent="0.2">
      <c r="A119" t="s">
        <v>970</v>
      </c>
      <c r="B119" t="s">
        <v>14</v>
      </c>
      <c r="C119">
        <v>9421003263482</v>
      </c>
      <c r="D119" t="s">
        <v>65</v>
      </c>
      <c r="E119">
        <v>1</v>
      </c>
      <c r="F119" s="1">
        <v>21.48</v>
      </c>
      <c r="G119">
        <v>0</v>
      </c>
      <c r="H119" s="1">
        <v>0</v>
      </c>
      <c r="I119" s="1">
        <v>0</v>
      </c>
      <c r="J119" s="1">
        <v>21.48</v>
      </c>
      <c r="K119" s="1">
        <v>2.17</v>
      </c>
      <c r="L119" s="1">
        <v>23.65</v>
      </c>
      <c r="M119">
        <v>1</v>
      </c>
    </row>
    <row r="120" spans="1:13" x14ac:dyDescent="0.2">
      <c r="A120" t="s">
        <v>755</v>
      </c>
      <c r="B120" t="s">
        <v>14</v>
      </c>
      <c r="C120">
        <v>9359171000007</v>
      </c>
      <c r="D120" t="s">
        <v>65</v>
      </c>
      <c r="E120">
        <v>5</v>
      </c>
      <c r="F120" s="1">
        <v>24.16</v>
      </c>
      <c r="G120">
        <v>0</v>
      </c>
      <c r="H120" s="1">
        <v>0</v>
      </c>
      <c r="I120" s="1">
        <v>-1.06</v>
      </c>
      <c r="J120" s="1">
        <v>23.1</v>
      </c>
      <c r="K120" s="1">
        <v>2.34</v>
      </c>
      <c r="L120" s="1">
        <v>25.44</v>
      </c>
      <c r="M120">
        <v>5</v>
      </c>
    </row>
    <row r="121" spans="1:13" x14ac:dyDescent="0.2">
      <c r="A121" t="s">
        <v>66</v>
      </c>
      <c r="B121" t="s">
        <v>14</v>
      </c>
      <c r="C121">
        <v>93577465</v>
      </c>
      <c r="D121" t="s">
        <v>65</v>
      </c>
      <c r="E121">
        <v>12</v>
      </c>
      <c r="F121" s="1">
        <v>17.420000000000002</v>
      </c>
      <c r="G121">
        <v>0</v>
      </c>
      <c r="H121" s="1">
        <v>0</v>
      </c>
      <c r="I121" s="1">
        <v>0</v>
      </c>
      <c r="J121" s="1">
        <v>17.420000000000002</v>
      </c>
      <c r="K121" s="1">
        <v>1.78</v>
      </c>
      <c r="L121" s="1">
        <v>19.2</v>
      </c>
      <c r="M121">
        <v>12</v>
      </c>
    </row>
    <row r="122" spans="1:13" x14ac:dyDescent="0.2">
      <c r="A122" t="s">
        <v>282</v>
      </c>
      <c r="B122" t="s">
        <v>14</v>
      </c>
      <c r="C122">
        <v>9369998324521</v>
      </c>
      <c r="D122" t="s">
        <v>65</v>
      </c>
      <c r="E122">
        <v>6</v>
      </c>
      <c r="F122" s="1">
        <v>29.47</v>
      </c>
      <c r="G122">
        <v>0</v>
      </c>
      <c r="H122" s="1">
        <v>0</v>
      </c>
      <c r="I122" s="1">
        <v>-6.36</v>
      </c>
      <c r="J122" s="1">
        <v>23.11</v>
      </c>
      <c r="K122" s="1">
        <v>2.33</v>
      </c>
      <c r="L122" s="1">
        <v>25.44</v>
      </c>
      <c r="M122">
        <v>6</v>
      </c>
    </row>
    <row r="123" spans="1:13" x14ac:dyDescent="0.2">
      <c r="A123" t="s">
        <v>67</v>
      </c>
      <c r="B123" t="s">
        <v>14</v>
      </c>
      <c r="C123">
        <v>9359171000380</v>
      </c>
      <c r="D123" t="s">
        <v>65</v>
      </c>
      <c r="E123">
        <v>1</v>
      </c>
      <c r="F123" s="1">
        <v>9.7200000000000006</v>
      </c>
      <c r="G123">
        <v>0</v>
      </c>
      <c r="H123" s="1">
        <v>0</v>
      </c>
      <c r="I123" s="1">
        <v>0</v>
      </c>
      <c r="J123" s="1">
        <v>9.7200000000000006</v>
      </c>
      <c r="K123" s="1">
        <v>0.98</v>
      </c>
      <c r="L123" s="1">
        <v>10.7</v>
      </c>
      <c r="M123">
        <v>1</v>
      </c>
    </row>
    <row r="124" spans="1:13" x14ac:dyDescent="0.2">
      <c r="A124" t="s">
        <v>68</v>
      </c>
      <c r="B124" t="s">
        <v>14</v>
      </c>
      <c r="C124">
        <v>9359171000106</v>
      </c>
      <c r="D124" t="s">
        <v>65</v>
      </c>
      <c r="E124">
        <v>2</v>
      </c>
      <c r="F124" s="1">
        <v>10.11</v>
      </c>
      <c r="G124">
        <v>0</v>
      </c>
      <c r="H124" s="1">
        <v>0</v>
      </c>
      <c r="I124" s="1">
        <v>-5.3</v>
      </c>
      <c r="J124" s="1">
        <v>4.8099999999999996</v>
      </c>
      <c r="K124" s="1">
        <v>0.49</v>
      </c>
      <c r="L124" s="1">
        <v>5.3</v>
      </c>
      <c r="M124">
        <v>2</v>
      </c>
    </row>
    <row r="125" spans="1:13" x14ac:dyDescent="0.2">
      <c r="A125" t="s">
        <v>69</v>
      </c>
      <c r="B125" t="s">
        <v>14</v>
      </c>
      <c r="C125">
        <v>9369998151394</v>
      </c>
      <c r="D125" t="s">
        <v>65</v>
      </c>
      <c r="E125">
        <v>2</v>
      </c>
      <c r="F125" s="1">
        <v>9.6300000000000008</v>
      </c>
      <c r="G125">
        <v>0</v>
      </c>
      <c r="H125" s="1">
        <v>0</v>
      </c>
      <c r="I125" s="1">
        <v>0</v>
      </c>
      <c r="J125" s="1">
        <v>9.6300000000000008</v>
      </c>
      <c r="K125" s="1">
        <v>0.97</v>
      </c>
      <c r="L125" s="1">
        <v>10.6</v>
      </c>
      <c r="M125">
        <v>2</v>
      </c>
    </row>
    <row r="126" spans="1:13" x14ac:dyDescent="0.2">
      <c r="A126" t="s">
        <v>610</v>
      </c>
      <c r="B126" t="s">
        <v>14</v>
      </c>
      <c r="C126">
        <v>649815000524</v>
      </c>
      <c r="D126" t="s">
        <v>65</v>
      </c>
      <c r="E126">
        <v>2</v>
      </c>
      <c r="F126" s="1">
        <v>9.9</v>
      </c>
      <c r="G126">
        <v>0</v>
      </c>
      <c r="H126" s="1">
        <v>0</v>
      </c>
      <c r="I126" s="1">
        <v>0</v>
      </c>
      <c r="J126" s="1">
        <v>9.9</v>
      </c>
      <c r="K126" s="1">
        <v>1</v>
      </c>
      <c r="L126" s="1">
        <v>10.9</v>
      </c>
      <c r="M126">
        <v>2</v>
      </c>
    </row>
    <row r="127" spans="1:13" x14ac:dyDescent="0.2">
      <c r="A127" t="s">
        <v>971</v>
      </c>
      <c r="B127" t="s">
        <v>14</v>
      </c>
      <c r="C127">
        <v>851686002495</v>
      </c>
      <c r="D127" t="s">
        <v>65</v>
      </c>
      <c r="E127">
        <v>1</v>
      </c>
      <c r="F127" s="1">
        <v>10.4</v>
      </c>
      <c r="G127">
        <v>0</v>
      </c>
      <c r="H127" s="1">
        <v>0</v>
      </c>
      <c r="I127" s="1">
        <v>0</v>
      </c>
      <c r="J127" s="1">
        <v>10.4</v>
      </c>
      <c r="K127" s="1">
        <v>1.05</v>
      </c>
      <c r="L127" s="1">
        <v>11.45</v>
      </c>
      <c r="M127">
        <v>1</v>
      </c>
    </row>
    <row r="128" spans="1:13" x14ac:dyDescent="0.2">
      <c r="A128" t="s">
        <v>326</v>
      </c>
      <c r="B128" t="s">
        <v>14</v>
      </c>
      <c r="C128">
        <v>830028001457</v>
      </c>
      <c r="D128" t="s">
        <v>65</v>
      </c>
      <c r="E128">
        <v>2</v>
      </c>
      <c r="F128" s="1">
        <v>5.63</v>
      </c>
      <c r="G128">
        <v>0</v>
      </c>
      <c r="H128" s="1">
        <v>0</v>
      </c>
      <c r="I128" s="1">
        <v>0</v>
      </c>
      <c r="J128" s="1">
        <v>5.63</v>
      </c>
      <c r="K128" s="1">
        <v>0.56999999999999995</v>
      </c>
      <c r="L128" s="1">
        <v>6.2</v>
      </c>
      <c r="M128">
        <v>2</v>
      </c>
    </row>
    <row r="129" spans="1:13" x14ac:dyDescent="0.2">
      <c r="A129" t="s">
        <v>972</v>
      </c>
      <c r="B129" t="s">
        <v>14</v>
      </c>
      <c r="C129">
        <v>830028009095</v>
      </c>
      <c r="D129" t="s">
        <v>65</v>
      </c>
      <c r="E129">
        <v>1</v>
      </c>
      <c r="F129" s="1">
        <v>5.08</v>
      </c>
      <c r="G129">
        <v>0</v>
      </c>
      <c r="H129" s="1">
        <v>0</v>
      </c>
      <c r="I129" s="1">
        <v>0</v>
      </c>
      <c r="J129" s="1">
        <v>5.08</v>
      </c>
      <c r="K129" s="1">
        <v>0.52</v>
      </c>
      <c r="L129" s="1">
        <v>5.6</v>
      </c>
      <c r="M129">
        <v>1</v>
      </c>
    </row>
    <row r="130" spans="1:13" x14ac:dyDescent="0.2">
      <c r="A130" t="s">
        <v>507</v>
      </c>
      <c r="B130" t="s">
        <v>14</v>
      </c>
      <c r="C130">
        <v>830028009033</v>
      </c>
      <c r="D130" t="s">
        <v>65</v>
      </c>
      <c r="E130">
        <v>4</v>
      </c>
      <c r="F130" s="1">
        <v>20.36</v>
      </c>
      <c r="G130">
        <v>0</v>
      </c>
      <c r="H130" s="1">
        <v>0</v>
      </c>
      <c r="I130" s="1">
        <v>0</v>
      </c>
      <c r="J130" s="1">
        <v>20.36</v>
      </c>
      <c r="K130" s="1">
        <v>2.04</v>
      </c>
      <c r="L130" s="1">
        <v>22.4</v>
      </c>
      <c r="M130">
        <v>4</v>
      </c>
    </row>
    <row r="131" spans="1:13" x14ac:dyDescent="0.2">
      <c r="A131" t="s">
        <v>611</v>
      </c>
      <c r="B131" t="s">
        <v>14</v>
      </c>
      <c r="C131">
        <v>830028000849</v>
      </c>
      <c r="D131" t="s">
        <v>65</v>
      </c>
      <c r="E131">
        <v>2</v>
      </c>
      <c r="F131" s="1">
        <v>16.34</v>
      </c>
      <c r="G131">
        <v>0</v>
      </c>
      <c r="H131" s="1">
        <v>0</v>
      </c>
      <c r="I131" s="1">
        <v>0</v>
      </c>
      <c r="J131" s="1">
        <v>16.34</v>
      </c>
      <c r="K131" s="1">
        <v>1.66</v>
      </c>
      <c r="L131" s="1">
        <v>18</v>
      </c>
      <c r="M131">
        <v>2</v>
      </c>
    </row>
    <row r="132" spans="1:13" x14ac:dyDescent="0.2">
      <c r="A132" t="s">
        <v>973</v>
      </c>
      <c r="B132" t="s">
        <v>14</v>
      </c>
      <c r="C132">
        <v>734027981010</v>
      </c>
      <c r="D132" t="s">
        <v>65</v>
      </c>
      <c r="E132">
        <v>1</v>
      </c>
      <c r="F132" s="1">
        <v>4.7699999999999996</v>
      </c>
      <c r="G132">
        <v>0</v>
      </c>
      <c r="H132" s="1">
        <v>0</v>
      </c>
      <c r="I132" s="1">
        <v>0</v>
      </c>
      <c r="J132" s="1">
        <v>4.7699999999999996</v>
      </c>
      <c r="K132" s="1">
        <v>0.48</v>
      </c>
      <c r="L132" s="1">
        <v>5.25</v>
      </c>
      <c r="M132">
        <v>1</v>
      </c>
    </row>
    <row r="133" spans="1:13" x14ac:dyDescent="0.2">
      <c r="A133" t="s">
        <v>974</v>
      </c>
      <c r="B133" t="s">
        <v>14</v>
      </c>
      <c r="C133">
        <v>9357030000199</v>
      </c>
      <c r="D133" t="s">
        <v>65</v>
      </c>
      <c r="E133">
        <v>3</v>
      </c>
      <c r="F133" s="1">
        <v>33.51</v>
      </c>
      <c r="G133">
        <v>0</v>
      </c>
      <c r="H133" s="1">
        <v>0</v>
      </c>
      <c r="I133" s="1">
        <v>-1.23</v>
      </c>
      <c r="J133" s="1">
        <v>32.28</v>
      </c>
      <c r="K133" s="1">
        <v>3.24</v>
      </c>
      <c r="L133" s="1">
        <v>35.520000000000003</v>
      </c>
      <c r="M133">
        <v>3</v>
      </c>
    </row>
    <row r="134" spans="1:13" x14ac:dyDescent="0.2">
      <c r="A134" t="s">
        <v>975</v>
      </c>
      <c r="B134" t="s">
        <v>14</v>
      </c>
      <c r="C134">
        <v>9357030000168</v>
      </c>
      <c r="D134" t="s">
        <v>65</v>
      </c>
      <c r="E134">
        <v>6</v>
      </c>
      <c r="F134" s="1">
        <v>66.959999999999994</v>
      </c>
      <c r="G134">
        <v>0</v>
      </c>
      <c r="H134" s="1">
        <v>0</v>
      </c>
      <c r="I134" s="1">
        <v>-2.4500000000000002</v>
      </c>
      <c r="J134" s="1">
        <v>64.510000000000005</v>
      </c>
      <c r="K134" s="1">
        <v>6.54</v>
      </c>
      <c r="L134" s="1">
        <v>71.05</v>
      </c>
      <c r="M134">
        <v>6</v>
      </c>
    </row>
    <row r="135" spans="1:13" x14ac:dyDescent="0.2">
      <c r="A135" t="s">
        <v>976</v>
      </c>
      <c r="B135" t="s">
        <v>14</v>
      </c>
      <c r="C135">
        <v>9357030000182</v>
      </c>
      <c r="D135" t="s">
        <v>65</v>
      </c>
      <c r="E135">
        <v>3</v>
      </c>
      <c r="F135" s="1">
        <v>33.4</v>
      </c>
      <c r="G135">
        <v>0</v>
      </c>
      <c r="H135" s="1">
        <v>0</v>
      </c>
      <c r="I135" s="1">
        <v>-0.31</v>
      </c>
      <c r="J135" s="1">
        <v>33.090000000000003</v>
      </c>
      <c r="K135" s="1">
        <v>3.35</v>
      </c>
      <c r="L135" s="1">
        <v>36.44</v>
      </c>
      <c r="M135">
        <v>3</v>
      </c>
    </row>
    <row r="136" spans="1:13" x14ac:dyDescent="0.2">
      <c r="A136" t="s">
        <v>283</v>
      </c>
      <c r="B136" t="s">
        <v>14</v>
      </c>
      <c r="C136">
        <v>9357030000175</v>
      </c>
      <c r="D136" t="s">
        <v>65</v>
      </c>
      <c r="E136">
        <v>4</v>
      </c>
      <c r="F136" s="1">
        <v>44.6</v>
      </c>
      <c r="G136">
        <v>0</v>
      </c>
      <c r="H136" s="1">
        <v>0</v>
      </c>
      <c r="I136" s="1">
        <v>-1.1100000000000001</v>
      </c>
      <c r="J136" s="1">
        <v>43.49</v>
      </c>
      <c r="K136" s="1">
        <v>4.4000000000000004</v>
      </c>
      <c r="L136" s="1">
        <v>47.89</v>
      </c>
      <c r="M136">
        <v>4</v>
      </c>
    </row>
    <row r="137" spans="1:13" x14ac:dyDescent="0.2">
      <c r="A137" t="s">
        <v>756</v>
      </c>
      <c r="B137" t="s">
        <v>14</v>
      </c>
      <c r="C137">
        <v>5745000121014</v>
      </c>
      <c r="D137" t="s">
        <v>65</v>
      </c>
      <c r="E137">
        <v>2</v>
      </c>
      <c r="F137" s="1">
        <v>6.26</v>
      </c>
      <c r="G137">
        <v>0</v>
      </c>
      <c r="H137" s="1">
        <v>0</v>
      </c>
      <c r="I137" s="1">
        <v>0</v>
      </c>
      <c r="J137" s="1">
        <v>6.26</v>
      </c>
      <c r="K137" s="1">
        <v>0.64</v>
      </c>
      <c r="L137" s="1">
        <v>6.9</v>
      </c>
      <c r="M137">
        <v>2</v>
      </c>
    </row>
    <row r="138" spans="1:13" x14ac:dyDescent="0.2">
      <c r="A138" t="s">
        <v>612</v>
      </c>
      <c r="B138" t="s">
        <v>14</v>
      </c>
      <c r="C138">
        <v>5745000121588</v>
      </c>
      <c r="D138" t="s">
        <v>65</v>
      </c>
      <c r="E138">
        <v>2</v>
      </c>
      <c r="F138" s="1">
        <v>6.27</v>
      </c>
      <c r="G138">
        <v>0</v>
      </c>
      <c r="H138" s="1">
        <v>0</v>
      </c>
      <c r="I138" s="1">
        <v>-0.08</v>
      </c>
      <c r="J138" s="1">
        <v>6.19</v>
      </c>
      <c r="K138" s="1">
        <v>0.63</v>
      </c>
      <c r="L138" s="1">
        <v>6.82</v>
      </c>
      <c r="M138">
        <v>2</v>
      </c>
    </row>
    <row r="139" spans="1:13" x14ac:dyDescent="0.2">
      <c r="A139" t="s">
        <v>613</v>
      </c>
      <c r="B139" t="s">
        <v>14</v>
      </c>
      <c r="C139">
        <v>5745000121397</v>
      </c>
      <c r="D139" t="s">
        <v>65</v>
      </c>
      <c r="E139">
        <v>4</v>
      </c>
      <c r="F139" s="1">
        <v>12.36</v>
      </c>
      <c r="G139">
        <v>0</v>
      </c>
      <c r="H139" s="1">
        <v>0</v>
      </c>
      <c r="I139" s="1">
        <v>0</v>
      </c>
      <c r="J139" s="1">
        <v>12.36</v>
      </c>
      <c r="K139" s="1">
        <v>1.24</v>
      </c>
      <c r="L139" s="1">
        <v>13.6</v>
      </c>
      <c r="M139">
        <v>4</v>
      </c>
    </row>
    <row r="140" spans="1:13" x14ac:dyDescent="0.2">
      <c r="A140" t="s">
        <v>977</v>
      </c>
      <c r="B140" t="s">
        <v>14</v>
      </c>
      <c r="C140">
        <v>9351775002555</v>
      </c>
      <c r="D140" t="s">
        <v>65</v>
      </c>
      <c r="E140">
        <v>1</v>
      </c>
      <c r="F140" s="1">
        <v>4.91</v>
      </c>
      <c r="G140">
        <v>0</v>
      </c>
      <c r="H140" s="1">
        <v>0</v>
      </c>
      <c r="I140" s="1">
        <v>-1.06</v>
      </c>
      <c r="J140" s="1">
        <v>3.85</v>
      </c>
      <c r="K140" s="1">
        <v>0.39</v>
      </c>
      <c r="L140" s="1">
        <v>4.24</v>
      </c>
      <c r="M140">
        <v>1</v>
      </c>
    </row>
    <row r="141" spans="1:13" x14ac:dyDescent="0.2">
      <c r="A141" t="s">
        <v>508</v>
      </c>
      <c r="B141" t="s">
        <v>14</v>
      </c>
      <c r="C141">
        <v>9351775002258</v>
      </c>
      <c r="D141" t="s">
        <v>65</v>
      </c>
      <c r="E141">
        <v>3</v>
      </c>
      <c r="F141" s="1">
        <v>14.43</v>
      </c>
      <c r="G141">
        <v>0</v>
      </c>
      <c r="H141" s="1">
        <v>0</v>
      </c>
      <c r="I141" s="1">
        <v>0</v>
      </c>
      <c r="J141" s="1">
        <v>14.43</v>
      </c>
      <c r="K141" s="1">
        <v>1.47</v>
      </c>
      <c r="L141" s="1">
        <v>15.9</v>
      </c>
      <c r="M141">
        <v>3</v>
      </c>
    </row>
    <row r="142" spans="1:13" x14ac:dyDescent="0.2">
      <c r="A142" t="s">
        <v>978</v>
      </c>
      <c r="B142" t="s">
        <v>14</v>
      </c>
      <c r="C142">
        <v>9351775002562</v>
      </c>
      <c r="D142" t="s">
        <v>65</v>
      </c>
      <c r="E142">
        <v>1</v>
      </c>
      <c r="F142" s="1">
        <v>4.82</v>
      </c>
      <c r="G142">
        <v>0</v>
      </c>
      <c r="H142" s="1">
        <v>0</v>
      </c>
      <c r="I142" s="1">
        <v>0</v>
      </c>
      <c r="J142" s="1">
        <v>4.82</v>
      </c>
      <c r="K142" s="1">
        <v>0.48</v>
      </c>
      <c r="L142" s="1">
        <v>5.3</v>
      </c>
      <c r="M142">
        <v>1</v>
      </c>
    </row>
    <row r="143" spans="1:13" x14ac:dyDescent="0.2">
      <c r="A143" t="s">
        <v>70</v>
      </c>
      <c r="B143" t="s">
        <v>14</v>
      </c>
      <c r="C143">
        <v>810165015012</v>
      </c>
      <c r="D143" t="s">
        <v>65</v>
      </c>
      <c r="E143">
        <v>1</v>
      </c>
      <c r="F143" s="1">
        <v>3</v>
      </c>
      <c r="G143">
        <v>0</v>
      </c>
      <c r="H143" s="1">
        <v>0</v>
      </c>
      <c r="I143" s="1">
        <v>0</v>
      </c>
      <c r="J143" s="1">
        <v>3</v>
      </c>
      <c r="K143" s="1">
        <v>0.3</v>
      </c>
      <c r="L143" s="1">
        <v>3.3</v>
      </c>
      <c r="M143">
        <v>1</v>
      </c>
    </row>
    <row r="144" spans="1:13" x14ac:dyDescent="0.2">
      <c r="A144" t="s">
        <v>615</v>
      </c>
      <c r="B144" t="s">
        <v>14</v>
      </c>
      <c r="C144">
        <v>9341252000440</v>
      </c>
      <c r="D144" t="s">
        <v>614</v>
      </c>
      <c r="E144">
        <v>1</v>
      </c>
      <c r="F144" s="1">
        <v>13.1</v>
      </c>
      <c r="G144">
        <v>0</v>
      </c>
      <c r="H144" s="1">
        <v>0</v>
      </c>
      <c r="I144" s="1">
        <v>0</v>
      </c>
      <c r="J144" s="1">
        <v>13.1</v>
      </c>
      <c r="K144" s="1">
        <v>0</v>
      </c>
      <c r="L144" s="1">
        <v>13.1</v>
      </c>
      <c r="M144">
        <v>1</v>
      </c>
    </row>
    <row r="145" spans="1:13" x14ac:dyDescent="0.2">
      <c r="A145" t="s">
        <v>979</v>
      </c>
      <c r="B145" t="s">
        <v>14</v>
      </c>
      <c r="C145">
        <v>708163115608</v>
      </c>
      <c r="D145" t="s">
        <v>71</v>
      </c>
      <c r="E145">
        <v>2</v>
      </c>
      <c r="F145" s="1">
        <v>18.86</v>
      </c>
      <c r="G145">
        <v>0</v>
      </c>
      <c r="H145" s="1">
        <v>0</v>
      </c>
      <c r="I145" s="1">
        <v>-3.57</v>
      </c>
      <c r="J145" s="1">
        <v>15.29</v>
      </c>
      <c r="K145" s="1">
        <v>1.54</v>
      </c>
      <c r="L145" s="1">
        <v>16.829999999999998</v>
      </c>
      <c r="M145">
        <v>2</v>
      </c>
    </row>
    <row r="146" spans="1:13" x14ac:dyDescent="0.2">
      <c r="A146" t="s">
        <v>757</v>
      </c>
      <c r="B146" t="s">
        <v>14</v>
      </c>
      <c r="C146">
        <v>708163192739</v>
      </c>
      <c r="D146" t="s">
        <v>71</v>
      </c>
      <c r="E146">
        <v>1</v>
      </c>
      <c r="F146" s="1">
        <v>8.27</v>
      </c>
      <c r="G146">
        <v>0</v>
      </c>
      <c r="H146" s="1">
        <v>0</v>
      </c>
      <c r="I146" s="1">
        <v>0</v>
      </c>
      <c r="J146" s="1">
        <v>8.27</v>
      </c>
      <c r="K146" s="1">
        <v>0.83</v>
      </c>
      <c r="L146" s="1">
        <v>9.1</v>
      </c>
      <c r="M146">
        <v>1</v>
      </c>
    </row>
    <row r="147" spans="1:13" x14ac:dyDescent="0.2">
      <c r="A147" t="s">
        <v>72</v>
      </c>
      <c r="B147" t="s">
        <v>14</v>
      </c>
      <c r="C147">
        <v>708163192715</v>
      </c>
      <c r="D147" t="s">
        <v>71</v>
      </c>
      <c r="E147">
        <v>5</v>
      </c>
      <c r="F147" s="1">
        <v>46.4</v>
      </c>
      <c r="G147">
        <v>0</v>
      </c>
      <c r="H147" s="1">
        <v>0</v>
      </c>
      <c r="I147" s="1">
        <v>-0.92</v>
      </c>
      <c r="J147" s="1">
        <v>45.48</v>
      </c>
      <c r="K147" s="1">
        <v>4.5999999999999996</v>
      </c>
      <c r="L147" s="1">
        <v>50.08</v>
      </c>
      <c r="M147">
        <v>5</v>
      </c>
    </row>
    <row r="148" spans="1:13" x14ac:dyDescent="0.2">
      <c r="A148" t="s">
        <v>73</v>
      </c>
      <c r="B148" t="s">
        <v>14</v>
      </c>
      <c r="C148">
        <v>735204341672</v>
      </c>
      <c r="D148" t="s">
        <v>71</v>
      </c>
      <c r="E148">
        <v>3</v>
      </c>
      <c r="F148" s="1">
        <v>37.58</v>
      </c>
      <c r="G148">
        <v>0</v>
      </c>
      <c r="H148" s="1">
        <v>0</v>
      </c>
      <c r="I148" s="1">
        <v>-1.23</v>
      </c>
      <c r="J148" s="1">
        <v>36.35</v>
      </c>
      <c r="K148" s="1">
        <v>3.67</v>
      </c>
      <c r="L148" s="1">
        <v>40.020000000000003</v>
      </c>
      <c r="M148">
        <v>3</v>
      </c>
    </row>
    <row r="149" spans="1:13" x14ac:dyDescent="0.2">
      <c r="A149" t="s">
        <v>327</v>
      </c>
      <c r="B149" t="s">
        <v>14</v>
      </c>
      <c r="C149">
        <v>735204341658</v>
      </c>
      <c r="D149" t="s">
        <v>71</v>
      </c>
      <c r="E149">
        <v>1</v>
      </c>
      <c r="F149" s="1">
        <v>10.17</v>
      </c>
      <c r="G149">
        <v>0</v>
      </c>
      <c r="H149" s="1">
        <v>0</v>
      </c>
      <c r="I149" s="1">
        <v>0</v>
      </c>
      <c r="J149" s="1">
        <v>10.17</v>
      </c>
      <c r="K149" s="1">
        <v>1.03</v>
      </c>
      <c r="L149" s="1">
        <v>11.2</v>
      </c>
      <c r="M149">
        <v>1</v>
      </c>
    </row>
    <row r="150" spans="1:13" x14ac:dyDescent="0.2">
      <c r="A150" t="s">
        <v>758</v>
      </c>
      <c r="B150" t="s">
        <v>14</v>
      </c>
      <c r="C150">
        <v>856823004752</v>
      </c>
      <c r="D150" t="s">
        <v>71</v>
      </c>
      <c r="E150">
        <v>1</v>
      </c>
      <c r="F150" s="1">
        <v>9.26</v>
      </c>
      <c r="G150">
        <v>0</v>
      </c>
      <c r="H150" s="1">
        <v>0</v>
      </c>
      <c r="I150" s="1">
        <v>0</v>
      </c>
      <c r="J150" s="1">
        <v>9.26</v>
      </c>
      <c r="K150" s="1">
        <v>0.94</v>
      </c>
      <c r="L150" s="1">
        <v>10.199999999999999</v>
      </c>
      <c r="M150">
        <v>1</v>
      </c>
    </row>
    <row r="151" spans="1:13" x14ac:dyDescent="0.2">
      <c r="A151" t="s">
        <v>759</v>
      </c>
      <c r="B151" t="s">
        <v>14</v>
      </c>
      <c r="C151">
        <v>856823004745</v>
      </c>
      <c r="D151" t="s">
        <v>71</v>
      </c>
      <c r="E151">
        <v>3</v>
      </c>
      <c r="F151" s="1">
        <v>27.87</v>
      </c>
      <c r="G151">
        <v>0</v>
      </c>
      <c r="H151" s="1">
        <v>0</v>
      </c>
      <c r="I151" s="1">
        <v>-0.98</v>
      </c>
      <c r="J151" s="1">
        <v>26.89</v>
      </c>
      <c r="K151" s="1">
        <v>2.73</v>
      </c>
      <c r="L151" s="1">
        <v>29.62</v>
      </c>
      <c r="M151">
        <v>3</v>
      </c>
    </row>
    <row r="152" spans="1:13" x14ac:dyDescent="0.2">
      <c r="A152" t="s">
        <v>760</v>
      </c>
      <c r="B152" t="s">
        <v>14</v>
      </c>
      <c r="C152">
        <v>850052699093</v>
      </c>
      <c r="D152" t="s">
        <v>71</v>
      </c>
      <c r="E152">
        <v>1</v>
      </c>
      <c r="F152" s="1">
        <v>9.26</v>
      </c>
      <c r="G152">
        <v>0</v>
      </c>
      <c r="H152" s="1">
        <v>0</v>
      </c>
      <c r="I152" s="1">
        <v>0</v>
      </c>
      <c r="J152" s="1">
        <v>9.26</v>
      </c>
      <c r="K152" s="1">
        <v>0.94</v>
      </c>
      <c r="L152" s="1">
        <v>10.199999999999999</v>
      </c>
      <c r="M152">
        <v>1</v>
      </c>
    </row>
    <row r="153" spans="1:13" x14ac:dyDescent="0.2">
      <c r="A153" t="s">
        <v>414</v>
      </c>
      <c r="B153" t="s">
        <v>14</v>
      </c>
      <c r="C153">
        <v>9349227000334</v>
      </c>
      <c r="D153" t="s">
        <v>71</v>
      </c>
      <c r="E153">
        <v>3</v>
      </c>
      <c r="F153" s="1">
        <v>28.74</v>
      </c>
      <c r="G153">
        <v>0</v>
      </c>
      <c r="H153" s="1">
        <v>0</v>
      </c>
      <c r="I153" s="1">
        <v>0</v>
      </c>
      <c r="J153" s="1">
        <v>28.74</v>
      </c>
      <c r="K153" s="1">
        <v>2.91</v>
      </c>
      <c r="L153" s="1">
        <v>31.65</v>
      </c>
      <c r="M153">
        <v>3</v>
      </c>
    </row>
    <row r="154" spans="1:13" x14ac:dyDescent="0.2">
      <c r="A154" t="s">
        <v>415</v>
      </c>
      <c r="B154" t="s">
        <v>14</v>
      </c>
      <c r="C154">
        <v>9349227000105</v>
      </c>
      <c r="D154" t="s">
        <v>71</v>
      </c>
      <c r="E154">
        <v>1</v>
      </c>
      <c r="F154" s="1">
        <v>9.58</v>
      </c>
      <c r="G154">
        <v>0</v>
      </c>
      <c r="H154" s="1">
        <v>0</v>
      </c>
      <c r="I154" s="1">
        <v>0</v>
      </c>
      <c r="J154" s="1">
        <v>9.58</v>
      </c>
      <c r="K154" s="1">
        <v>0.97</v>
      </c>
      <c r="L154" s="1">
        <v>10.55</v>
      </c>
      <c r="M154">
        <v>1</v>
      </c>
    </row>
    <row r="155" spans="1:13" x14ac:dyDescent="0.2">
      <c r="A155" t="s">
        <v>761</v>
      </c>
      <c r="B155" t="s">
        <v>14</v>
      </c>
      <c r="C155">
        <v>9421905498890</v>
      </c>
      <c r="D155" t="s">
        <v>71</v>
      </c>
      <c r="E155">
        <v>1</v>
      </c>
      <c r="F155" s="1">
        <v>7.58</v>
      </c>
      <c r="G155">
        <v>0</v>
      </c>
      <c r="H155" s="1">
        <v>0</v>
      </c>
      <c r="I155" s="1">
        <v>0</v>
      </c>
      <c r="J155" s="1">
        <v>7.58</v>
      </c>
      <c r="K155" s="1">
        <v>0.77</v>
      </c>
      <c r="L155" s="1">
        <v>8.35</v>
      </c>
      <c r="M155">
        <v>1</v>
      </c>
    </row>
    <row r="156" spans="1:13" x14ac:dyDescent="0.2">
      <c r="A156" t="s">
        <v>616</v>
      </c>
      <c r="B156" t="s">
        <v>14</v>
      </c>
      <c r="C156">
        <v>9421905498838</v>
      </c>
      <c r="D156" t="s">
        <v>71</v>
      </c>
      <c r="E156">
        <v>1</v>
      </c>
      <c r="F156" s="1">
        <v>7.58</v>
      </c>
      <c r="G156">
        <v>0</v>
      </c>
      <c r="H156" s="1">
        <v>0</v>
      </c>
      <c r="I156" s="1">
        <v>0</v>
      </c>
      <c r="J156" s="1">
        <v>7.58</v>
      </c>
      <c r="K156" s="1">
        <v>0.77</v>
      </c>
      <c r="L156" s="1">
        <v>8.35</v>
      </c>
      <c r="M156">
        <v>1</v>
      </c>
    </row>
    <row r="157" spans="1:13" x14ac:dyDescent="0.2">
      <c r="A157" t="s">
        <v>762</v>
      </c>
      <c r="B157" t="s">
        <v>14</v>
      </c>
      <c r="C157">
        <v>9421903677198</v>
      </c>
      <c r="D157" t="s">
        <v>71</v>
      </c>
      <c r="E157">
        <v>2</v>
      </c>
      <c r="F157" s="1">
        <v>17.61</v>
      </c>
      <c r="G157">
        <v>0</v>
      </c>
      <c r="H157" s="1">
        <v>0</v>
      </c>
      <c r="I157" s="1">
        <v>-0.88</v>
      </c>
      <c r="J157" s="1">
        <v>16.73</v>
      </c>
      <c r="K157" s="1">
        <v>1.69</v>
      </c>
      <c r="L157" s="1">
        <v>18.420000000000002</v>
      </c>
      <c r="M157">
        <v>2</v>
      </c>
    </row>
    <row r="158" spans="1:13" x14ac:dyDescent="0.2">
      <c r="A158" t="s">
        <v>509</v>
      </c>
      <c r="B158" t="s">
        <v>14</v>
      </c>
      <c r="C158">
        <v>9421903677839</v>
      </c>
      <c r="D158" t="s">
        <v>71</v>
      </c>
      <c r="E158">
        <v>2</v>
      </c>
      <c r="F158" s="1">
        <v>8.26</v>
      </c>
      <c r="G158">
        <v>0</v>
      </c>
      <c r="H158" s="1">
        <v>0</v>
      </c>
      <c r="I158" s="1">
        <v>0</v>
      </c>
      <c r="J158" s="1">
        <v>8.26</v>
      </c>
      <c r="K158" s="1">
        <v>0.84</v>
      </c>
      <c r="L158" s="1">
        <v>9.1</v>
      </c>
      <c r="M158">
        <v>2</v>
      </c>
    </row>
    <row r="159" spans="1:13" x14ac:dyDescent="0.2">
      <c r="A159" t="s">
        <v>510</v>
      </c>
      <c r="B159" t="s">
        <v>14</v>
      </c>
      <c r="C159">
        <v>9421903677181</v>
      </c>
      <c r="D159" t="s">
        <v>71</v>
      </c>
      <c r="E159">
        <v>3</v>
      </c>
      <c r="F159" s="1">
        <v>2.73</v>
      </c>
      <c r="G159">
        <v>0</v>
      </c>
      <c r="H159" s="1">
        <v>0</v>
      </c>
      <c r="I159" s="1">
        <v>0</v>
      </c>
      <c r="J159" s="1">
        <v>2.73</v>
      </c>
      <c r="K159" s="1">
        <v>0.27</v>
      </c>
      <c r="L159" s="1">
        <v>3</v>
      </c>
      <c r="M159">
        <v>3</v>
      </c>
    </row>
    <row r="160" spans="1:13" x14ac:dyDescent="0.2">
      <c r="A160" t="s">
        <v>617</v>
      </c>
      <c r="B160" t="s">
        <v>14</v>
      </c>
      <c r="C160">
        <v>9421903677259</v>
      </c>
      <c r="D160" t="s">
        <v>71</v>
      </c>
      <c r="E160">
        <v>1</v>
      </c>
      <c r="F160" s="1">
        <v>0.91</v>
      </c>
      <c r="G160">
        <v>0</v>
      </c>
      <c r="H160" s="1">
        <v>0</v>
      </c>
      <c r="I160" s="1">
        <v>0</v>
      </c>
      <c r="J160" s="1">
        <v>0.91</v>
      </c>
      <c r="K160" s="1">
        <v>0.09</v>
      </c>
      <c r="L160" s="1">
        <v>1</v>
      </c>
      <c r="M160">
        <v>1</v>
      </c>
    </row>
    <row r="161" spans="1:13" x14ac:dyDescent="0.2">
      <c r="A161" t="s">
        <v>328</v>
      </c>
      <c r="B161" t="s">
        <v>14</v>
      </c>
      <c r="C161">
        <v>9369998522989</v>
      </c>
      <c r="D161" t="s">
        <v>71</v>
      </c>
      <c r="E161">
        <v>7</v>
      </c>
      <c r="F161" s="1">
        <v>75.989999999999995</v>
      </c>
      <c r="G161">
        <v>0</v>
      </c>
      <c r="H161" s="1">
        <v>0</v>
      </c>
      <c r="I161" s="1">
        <v>-0.31</v>
      </c>
      <c r="J161" s="1">
        <v>75.680000000000007</v>
      </c>
      <c r="K161" s="1">
        <v>7.66</v>
      </c>
      <c r="L161" s="1">
        <v>83.34</v>
      </c>
      <c r="M161">
        <v>7</v>
      </c>
    </row>
    <row r="162" spans="1:13" x14ac:dyDescent="0.2">
      <c r="A162" t="s">
        <v>329</v>
      </c>
      <c r="B162" t="s">
        <v>14</v>
      </c>
      <c r="C162">
        <v>9369900056557</v>
      </c>
      <c r="D162" t="s">
        <v>71</v>
      </c>
      <c r="E162">
        <v>6</v>
      </c>
      <c r="F162" s="1">
        <v>65.11</v>
      </c>
      <c r="G162">
        <v>0</v>
      </c>
      <c r="H162" s="1">
        <v>0</v>
      </c>
      <c r="I162" s="1">
        <v>0</v>
      </c>
      <c r="J162" s="1">
        <v>65.11</v>
      </c>
      <c r="K162" s="1">
        <v>6.59</v>
      </c>
      <c r="L162" s="1">
        <v>71.7</v>
      </c>
      <c r="M162">
        <v>6</v>
      </c>
    </row>
    <row r="163" spans="1:13" x14ac:dyDescent="0.2">
      <c r="A163" t="s">
        <v>763</v>
      </c>
      <c r="B163" t="s">
        <v>14</v>
      </c>
      <c r="C163">
        <v>9345911000024</v>
      </c>
      <c r="D163" t="s">
        <v>74</v>
      </c>
      <c r="E163">
        <v>2</v>
      </c>
      <c r="F163" s="1">
        <v>16.079999999999998</v>
      </c>
      <c r="G163">
        <v>0</v>
      </c>
      <c r="H163" s="1">
        <v>0</v>
      </c>
      <c r="I163" s="1">
        <v>0</v>
      </c>
      <c r="J163" s="1">
        <v>16.079999999999998</v>
      </c>
      <c r="K163" s="1">
        <v>1.62</v>
      </c>
      <c r="L163" s="1">
        <v>17.7</v>
      </c>
      <c r="M163">
        <v>2</v>
      </c>
    </row>
    <row r="164" spans="1:13" x14ac:dyDescent="0.2">
      <c r="A164" t="s">
        <v>980</v>
      </c>
      <c r="B164" t="s">
        <v>14</v>
      </c>
      <c r="C164">
        <v>9345911000314</v>
      </c>
      <c r="D164" t="s">
        <v>74</v>
      </c>
      <c r="E164">
        <v>1</v>
      </c>
      <c r="F164" s="1">
        <v>8.0399999999999991</v>
      </c>
      <c r="G164">
        <v>0</v>
      </c>
      <c r="H164" s="1">
        <v>0</v>
      </c>
      <c r="I164" s="1">
        <v>0</v>
      </c>
      <c r="J164" s="1">
        <v>8.0399999999999991</v>
      </c>
      <c r="K164" s="1">
        <v>0.81</v>
      </c>
      <c r="L164" s="1">
        <v>8.85</v>
      </c>
      <c r="M164">
        <v>1</v>
      </c>
    </row>
    <row r="165" spans="1:13" x14ac:dyDescent="0.2">
      <c r="A165" t="s">
        <v>981</v>
      </c>
      <c r="B165" t="s">
        <v>14</v>
      </c>
      <c r="C165">
        <v>9345911000574</v>
      </c>
      <c r="D165" t="s">
        <v>74</v>
      </c>
      <c r="E165">
        <v>3</v>
      </c>
      <c r="F165" s="1">
        <v>24.14</v>
      </c>
      <c r="G165">
        <v>0</v>
      </c>
      <c r="H165" s="1">
        <v>0</v>
      </c>
      <c r="I165" s="1">
        <v>0</v>
      </c>
      <c r="J165" s="1">
        <v>24.14</v>
      </c>
      <c r="K165" s="1">
        <v>2.41</v>
      </c>
      <c r="L165" s="1">
        <v>26.55</v>
      </c>
      <c r="M165">
        <v>3</v>
      </c>
    </row>
    <row r="166" spans="1:13" x14ac:dyDescent="0.2">
      <c r="A166" t="s">
        <v>764</v>
      </c>
      <c r="B166" t="s">
        <v>14</v>
      </c>
      <c r="C166">
        <v>9345911000277</v>
      </c>
      <c r="D166" t="s">
        <v>74</v>
      </c>
      <c r="E166">
        <v>1</v>
      </c>
      <c r="F166" s="1">
        <v>8.0299999999999994</v>
      </c>
      <c r="G166">
        <v>0</v>
      </c>
      <c r="H166" s="1">
        <v>0</v>
      </c>
      <c r="I166" s="1">
        <v>0</v>
      </c>
      <c r="J166" s="1">
        <v>8.0299999999999994</v>
      </c>
      <c r="K166" s="1">
        <v>0.82</v>
      </c>
      <c r="L166" s="1">
        <v>8.85</v>
      </c>
      <c r="M166">
        <v>1</v>
      </c>
    </row>
    <row r="167" spans="1:13" x14ac:dyDescent="0.2">
      <c r="A167" t="s">
        <v>765</v>
      </c>
      <c r="B167" t="s">
        <v>14</v>
      </c>
      <c r="C167">
        <v>9345911000475</v>
      </c>
      <c r="D167" t="s">
        <v>74</v>
      </c>
      <c r="E167">
        <v>5</v>
      </c>
      <c r="F167" s="1">
        <v>40.26</v>
      </c>
      <c r="G167">
        <v>0</v>
      </c>
      <c r="H167" s="1">
        <v>0</v>
      </c>
      <c r="I167" s="1">
        <v>-0.8</v>
      </c>
      <c r="J167" s="1">
        <v>39.46</v>
      </c>
      <c r="K167" s="1">
        <v>3.99</v>
      </c>
      <c r="L167" s="1">
        <v>43.45</v>
      </c>
      <c r="M167">
        <v>5</v>
      </c>
    </row>
    <row r="168" spans="1:13" x14ac:dyDescent="0.2">
      <c r="A168" t="s">
        <v>75</v>
      </c>
      <c r="B168" t="s">
        <v>14</v>
      </c>
      <c r="C168">
        <v>9345911000680</v>
      </c>
      <c r="D168" t="s">
        <v>74</v>
      </c>
      <c r="E168">
        <v>3</v>
      </c>
      <c r="F168" s="1">
        <v>24.12</v>
      </c>
      <c r="G168">
        <v>0</v>
      </c>
      <c r="H168" s="1">
        <v>0</v>
      </c>
      <c r="I168" s="1">
        <v>0</v>
      </c>
      <c r="J168" s="1">
        <v>24.12</v>
      </c>
      <c r="K168" s="1">
        <v>2.4300000000000002</v>
      </c>
      <c r="L168" s="1">
        <v>26.55</v>
      </c>
      <c r="M168">
        <v>3</v>
      </c>
    </row>
    <row r="169" spans="1:13" x14ac:dyDescent="0.2">
      <c r="A169" t="s">
        <v>982</v>
      </c>
      <c r="B169" t="s">
        <v>14</v>
      </c>
      <c r="C169">
        <v>9345911000284</v>
      </c>
      <c r="D169" t="s">
        <v>74</v>
      </c>
      <c r="E169">
        <v>2</v>
      </c>
      <c r="F169" s="1">
        <v>16.12</v>
      </c>
      <c r="G169">
        <v>0</v>
      </c>
      <c r="H169" s="1">
        <v>0</v>
      </c>
      <c r="I169" s="1">
        <v>-0.5</v>
      </c>
      <c r="J169" s="1">
        <v>15.62</v>
      </c>
      <c r="K169" s="1">
        <v>1.58</v>
      </c>
      <c r="L169" s="1">
        <v>17.2</v>
      </c>
      <c r="M169">
        <v>2</v>
      </c>
    </row>
    <row r="170" spans="1:13" x14ac:dyDescent="0.2">
      <c r="A170" t="s">
        <v>76</v>
      </c>
      <c r="B170" t="s">
        <v>14</v>
      </c>
      <c r="C170">
        <v>680569529442</v>
      </c>
      <c r="D170" t="s">
        <v>74</v>
      </c>
      <c r="E170">
        <v>2</v>
      </c>
      <c r="F170" s="1">
        <v>3.46</v>
      </c>
      <c r="G170">
        <v>0</v>
      </c>
      <c r="H170" s="1">
        <v>0</v>
      </c>
      <c r="I170" s="1">
        <v>0</v>
      </c>
      <c r="J170" s="1">
        <v>3.46</v>
      </c>
      <c r="K170" s="1">
        <v>0.34</v>
      </c>
      <c r="L170" s="1">
        <v>3.8</v>
      </c>
      <c r="M170">
        <v>2</v>
      </c>
    </row>
    <row r="171" spans="1:13" x14ac:dyDescent="0.2">
      <c r="A171" t="s">
        <v>77</v>
      </c>
      <c r="B171" t="s">
        <v>14</v>
      </c>
      <c r="C171">
        <v>680569565006</v>
      </c>
      <c r="D171" t="s">
        <v>74</v>
      </c>
      <c r="E171">
        <v>4</v>
      </c>
      <c r="F171" s="1">
        <v>6.9</v>
      </c>
      <c r="G171">
        <v>0</v>
      </c>
      <c r="H171" s="1">
        <v>0</v>
      </c>
      <c r="I171" s="1">
        <v>0</v>
      </c>
      <c r="J171" s="1">
        <v>6.9</v>
      </c>
      <c r="K171" s="1">
        <v>0.7</v>
      </c>
      <c r="L171" s="1">
        <v>7.6</v>
      </c>
      <c r="M171">
        <v>4</v>
      </c>
    </row>
    <row r="172" spans="1:13" x14ac:dyDescent="0.2">
      <c r="A172" t="s">
        <v>330</v>
      </c>
      <c r="B172" t="s">
        <v>14</v>
      </c>
      <c r="C172">
        <v>9354396000092</v>
      </c>
      <c r="D172" t="s">
        <v>74</v>
      </c>
      <c r="E172">
        <v>8</v>
      </c>
      <c r="F172" s="1">
        <v>16.72</v>
      </c>
      <c r="G172">
        <v>0</v>
      </c>
      <c r="H172" s="1">
        <v>0</v>
      </c>
      <c r="I172" s="1">
        <v>0</v>
      </c>
      <c r="J172" s="1">
        <v>16.72</v>
      </c>
      <c r="K172" s="1">
        <v>1.68</v>
      </c>
      <c r="L172" s="1">
        <v>18.399999999999999</v>
      </c>
      <c r="M172">
        <v>8</v>
      </c>
    </row>
    <row r="173" spans="1:13" x14ac:dyDescent="0.2">
      <c r="A173" t="s">
        <v>331</v>
      </c>
      <c r="B173" t="s">
        <v>14</v>
      </c>
      <c r="C173">
        <v>9421903370631</v>
      </c>
      <c r="D173" t="s">
        <v>74</v>
      </c>
      <c r="E173">
        <v>2</v>
      </c>
      <c r="F173" s="1">
        <v>18.53</v>
      </c>
      <c r="G173">
        <v>0</v>
      </c>
      <c r="H173" s="1">
        <v>0</v>
      </c>
      <c r="I173" s="1">
        <v>-2.02</v>
      </c>
      <c r="J173" s="1">
        <v>16.510000000000002</v>
      </c>
      <c r="K173" s="1">
        <v>1.67</v>
      </c>
      <c r="L173" s="1">
        <v>18.18</v>
      </c>
      <c r="M173">
        <v>2</v>
      </c>
    </row>
    <row r="174" spans="1:13" x14ac:dyDescent="0.2">
      <c r="A174" t="s">
        <v>983</v>
      </c>
      <c r="B174" t="s">
        <v>14</v>
      </c>
      <c r="C174">
        <v>9421903370655</v>
      </c>
      <c r="D174" t="s">
        <v>74</v>
      </c>
      <c r="E174">
        <v>1</v>
      </c>
      <c r="F174" s="1">
        <v>9.17</v>
      </c>
      <c r="G174">
        <v>0</v>
      </c>
      <c r="H174" s="1">
        <v>0</v>
      </c>
      <c r="I174" s="1">
        <v>0</v>
      </c>
      <c r="J174" s="1">
        <v>9.17</v>
      </c>
      <c r="K174" s="1">
        <v>0.93</v>
      </c>
      <c r="L174" s="1">
        <v>10.1</v>
      </c>
      <c r="M174">
        <v>1</v>
      </c>
    </row>
    <row r="175" spans="1:13" x14ac:dyDescent="0.2">
      <c r="A175" t="s">
        <v>293</v>
      </c>
      <c r="B175" t="s">
        <v>14</v>
      </c>
      <c r="C175">
        <v>9421903370648</v>
      </c>
      <c r="D175" t="s">
        <v>74</v>
      </c>
      <c r="E175">
        <v>2</v>
      </c>
      <c r="F175" s="1">
        <v>18.34</v>
      </c>
      <c r="G175">
        <v>0</v>
      </c>
      <c r="H175" s="1">
        <v>0</v>
      </c>
      <c r="I175" s="1">
        <v>0</v>
      </c>
      <c r="J175" s="1">
        <v>18.34</v>
      </c>
      <c r="K175" s="1">
        <v>1.86</v>
      </c>
      <c r="L175" s="1">
        <v>20.2</v>
      </c>
      <c r="M175">
        <v>2</v>
      </c>
    </row>
    <row r="176" spans="1:13" x14ac:dyDescent="0.2">
      <c r="A176" t="s">
        <v>766</v>
      </c>
      <c r="B176" t="s">
        <v>14</v>
      </c>
      <c r="C176">
        <v>9354396000016</v>
      </c>
      <c r="D176" t="s">
        <v>74</v>
      </c>
      <c r="E176">
        <v>1</v>
      </c>
      <c r="F176" s="1">
        <v>8.81</v>
      </c>
      <c r="G176">
        <v>0</v>
      </c>
      <c r="H176" s="1">
        <v>0</v>
      </c>
      <c r="I176" s="1">
        <v>0</v>
      </c>
      <c r="J176" s="1">
        <v>8.81</v>
      </c>
      <c r="K176" s="1">
        <v>0.89</v>
      </c>
      <c r="L176" s="1">
        <v>9.6999999999999993</v>
      </c>
      <c r="M176">
        <v>1</v>
      </c>
    </row>
    <row r="177" spans="1:13" x14ac:dyDescent="0.2">
      <c r="A177" t="s">
        <v>767</v>
      </c>
      <c r="B177" t="s">
        <v>14</v>
      </c>
      <c r="C177">
        <v>9354396000108</v>
      </c>
      <c r="D177" t="s">
        <v>74</v>
      </c>
      <c r="E177">
        <v>1</v>
      </c>
      <c r="F177" s="1">
        <v>11.8</v>
      </c>
      <c r="G177">
        <v>0</v>
      </c>
      <c r="H177" s="1">
        <v>0</v>
      </c>
      <c r="I177" s="1">
        <v>0</v>
      </c>
      <c r="J177" s="1">
        <v>11.8</v>
      </c>
      <c r="K177" s="1">
        <v>1.2</v>
      </c>
      <c r="L177" s="1">
        <v>13</v>
      </c>
      <c r="M177">
        <v>1</v>
      </c>
    </row>
    <row r="178" spans="1:13" x14ac:dyDescent="0.2">
      <c r="A178" t="s">
        <v>984</v>
      </c>
      <c r="B178" t="s">
        <v>14</v>
      </c>
      <c r="C178">
        <v>9354396000115</v>
      </c>
      <c r="D178" t="s">
        <v>74</v>
      </c>
      <c r="E178">
        <v>1</v>
      </c>
      <c r="F178" s="1">
        <v>11.81</v>
      </c>
      <c r="G178">
        <v>0</v>
      </c>
      <c r="H178" s="1">
        <v>0</v>
      </c>
      <c r="I178" s="1">
        <v>0</v>
      </c>
      <c r="J178" s="1">
        <v>11.81</v>
      </c>
      <c r="K178" s="1">
        <v>1.19</v>
      </c>
      <c r="L178" s="1">
        <v>13</v>
      </c>
      <c r="M178">
        <v>1</v>
      </c>
    </row>
    <row r="179" spans="1:13" x14ac:dyDescent="0.2">
      <c r="A179" t="s">
        <v>618</v>
      </c>
      <c r="B179" t="s">
        <v>14</v>
      </c>
      <c r="C179">
        <v>793579748984</v>
      </c>
      <c r="D179" t="s">
        <v>74</v>
      </c>
      <c r="E179">
        <v>2</v>
      </c>
      <c r="F179" s="1">
        <v>28.42</v>
      </c>
      <c r="G179">
        <v>0</v>
      </c>
      <c r="H179" s="1">
        <v>0</v>
      </c>
      <c r="I179" s="1">
        <v>0</v>
      </c>
      <c r="J179" s="1">
        <v>28.42</v>
      </c>
      <c r="K179" s="1">
        <v>2.88</v>
      </c>
      <c r="L179" s="1">
        <v>31.3</v>
      </c>
      <c r="M179">
        <v>2</v>
      </c>
    </row>
    <row r="180" spans="1:13" x14ac:dyDescent="0.2">
      <c r="A180" t="s">
        <v>511</v>
      </c>
      <c r="B180" t="s">
        <v>14</v>
      </c>
      <c r="C180">
        <v>9357490000883</v>
      </c>
      <c r="D180" t="s">
        <v>74</v>
      </c>
      <c r="E180">
        <v>4</v>
      </c>
      <c r="F180" s="1">
        <v>109.17</v>
      </c>
      <c r="G180">
        <v>0</v>
      </c>
      <c r="H180" s="1">
        <v>0</v>
      </c>
      <c r="I180" s="1">
        <v>-4.0599999999999996</v>
      </c>
      <c r="J180" s="1">
        <v>105.11</v>
      </c>
      <c r="K180" s="1">
        <v>10.63</v>
      </c>
      <c r="L180" s="1">
        <v>115.74</v>
      </c>
      <c r="M180">
        <v>4</v>
      </c>
    </row>
    <row r="181" spans="1:13" x14ac:dyDescent="0.2">
      <c r="A181" t="s">
        <v>512</v>
      </c>
      <c r="B181" t="s">
        <v>14</v>
      </c>
      <c r="C181">
        <v>9357490000876</v>
      </c>
      <c r="D181" t="s">
        <v>74</v>
      </c>
      <c r="E181">
        <v>7</v>
      </c>
      <c r="F181" s="1">
        <v>190.4</v>
      </c>
      <c r="G181">
        <v>0</v>
      </c>
      <c r="H181" s="1">
        <v>0</v>
      </c>
      <c r="I181" s="1">
        <v>0</v>
      </c>
      <c r="J181" s="1">
        <v>190.4</v>
      </c>
      <c r="K181" s="1">
        <v>19.25</v>
      </c>
      <c r="L181" s="1">
        <v>209.65</v>
      </c>
      <c r="M181">
        <v>7</v>
      </c>
    </row>
    <row r="182" spans="1:13" x14ac:dyDescent="0.2">
      <c r="A182" t="s">
        <v>513</v>
      </c>
      <c r="B182" t="s">
        <v>14</v>
      </c>
      <c r="C182">
        <v>9357490000869</v>
      </c>
      <c r="D182" t="s">
        <v>74</v>
      </c>
      <c r="E182">
        <v>6</v>
      </c>
      <c r="F182" s="1">
        <v>163.22999999999999</v>
      </c>
      <c r="G182">
        <v>0</v>
      </c>
      <c r="H182" s="1">
        <v>0</v>
      </c>
      <c r="I182" s="1">
        <v>0</v>
      </c>
      <c r="J182" s="1">
        <v>163.22999999999999</v>
      </c>
      <c r="K182" s="1">
        <v>16.47</v>
      </c>
      <c r="L182" s="1">
        <v>179.7</v>
      </c>
      <c r="M182">
        <v>6</v>
      </c>
    </row>
    <row r="183" spans="1:13" x14ac:dyDescent="0.2">
      <c r="A183" t="s">
        <v>514</v>
      </c>
      <c r="B183" t="s">
        <v>14</v>
      </c>
      <c r="C183">
        <v>9357490000890</v>
      </c>
      <c r="D183" t="s">
        <v>74</v>
      </c>
      <c r="E183">
        <v>3</v>
      </c>
      <c r="F183" s="1">
        <v>81.599999999999994</v>
      </c>
      <c r="G183">
        <v>0</v>
      </c>
      <c r="H183" s="1">
        <v>0</v>
      </c>
      <c r="I183" s="1">
        <v>0</v>
      </c>
      <c r="J183" s="1">
        <v>81.599999999999994</v>
      </c>
      <c r="K183" s="1">
        <v>8.25</v>
      </c>
      <c r="L183" s="1">
        <v>89.85</v>
      </c>
      <c r="M183">
        <v>3</v>
      </c>
    </row>
    <row r="184" spans="1:13" x14ac:dyDescent="0.2">
      <c r="A184" t="s">
        <v>985</v>
      </c>
      <c r="B184" t="s">
        <v>14</v>
      </c>
      <c r="C184">
        <v>9357490000098</v>
      </c>
      <c r="D184" t="s">
        <v>74</v>
      </c>
      <c r="E184">
        <v>4</v>
      </c>
      <c r="F184" s="1">
        <v>25.25</v>
      </c>
      <c r="G184">
        <v>0</v>
      </c>
      <c r="H184" s="1">
        <v>0</v>
      </c>
      <c r="I184" s="1">
        <v>0</v>
      </c>
      <c r="J184" s="1">
        <v>25.25</v>
      </c>
      <c r="K184" s="1">
        <v>2.5499999999999998</v>
      </c>
      <c r="L184" s="1">
        <v>27.8</v>
      </c>
      <c r="M184">
        <v>4</v>
      </c>
    </row>
    <row r="185" spans="1:13" x14ac:dyDescent="0.2">
      <c r="A185" t="s">
        <v>78</v>
      </c>
      <c r="B185" t="s">
        <v>14</v>
      </c>
      <c r="C185">
        <v>9357490000043</v>
      </c>
      <c r="D185" t="s">
        <v>74</v>
      </c>
      <c r="E185">
        <v>7</v>
      </c>
      <c r="F185" s="1">
        <v>44.22</v>
      </c>
      <c r="G185">
        <v>0</v>
      </c>
      <c r="H185" s="1">
        <v>0</v>
      </c>
      <c r="I185" s="1">
        <v>-0.52</v>
      </c>
      <c r="J185" s="1">
        <v>43.7</v>
      </c>
      <c r="K185" s="1">
        <v>4.43</v>
      </c>
      <c r="L185" s="1">
        <v>48.13</v>
      </c>
      <c r="M185">
        <v>7</v>
      </c>
    </row>
    <row r="186" spans="1:13" x14ac:dyDescent="0.2">
      <c r="A186" t="s">
        <v>79</v>
      </c>
      <c r="B186" t="s">
        <v>14</v>
      </c>
      <c r="C186">
        <v>9357490000425</v>
      </c>
      <c r="D186" t="s">
        <v>74</v>
      </c>
      <c r="E186">
        <v>5</v>
      </c>
      <c r="F186" s="1">
        <v>31.68</v>
      </c>
      <c r="G186">
        <v>0</v>
      </c>
      <c r="H186" s="1">
        <v>0</v>
      </c>
      <c r="I186" s="1">
        <v>-1.39</v>
      </c>
      <c r="J186" s="1">
        <v>30.29</v>
      </c>
      <c r="K186" s="1">
        <v>3.07</v>
      </c>
      <c r="L186" s="1">
        <v>33.36</v>
      </c>
      <c r="M186">
        <v>5</v>
      </c>
    </row>
    <row r="187" spans="1:13" x14ac:dyDescent="0.2">
      <c r="A187" t="s">
        <v>80</v>
      </c>
      <c r="B187" t="s">
        <v>14</v>
      </c>
      <c r="C187">
        <v>9357490000135</v>
      </c>
      <c r="D187" t="s">
        <v>74</v>
      </c>
      <c r="E187">
        <v>4</v>
      </c>
      <c r="F187" s="1">
        <v>25.46</v>
      </c>
      <c r="G187">
        <v>0</v>
      </c>
      <c r="H187" s="1">
        <v>0</v>
      </c>
      <c r="I187" s="1">
        <v>-2.33</v>
      </c>
      <c r="J187" s="1">
        <v>23.13</v>
      </c>
      <c r="K187" s="1">
        <v>2.34</v>
      </c>
      <c r="L187" s="1">
        <v>25.47</v>
      </c>
      <c r="M187">
        <v>4</v>
      </c>
    </row>
    <row r="188" spans="1:13" x14ac:dyDescent="0.2">
      <c r="A188" t="s">
        <v>986</v>
      </c>
      <c r="B188" t="s">
        <v>14</v>
      </c>
      <c r="C188">
        <v>9357490000272</v>
      </c>
      <c r="D188" t="s">
        <v>74</v>
      </c>
      <c r="E188">
        <v>3</v>
      </c>
      <c r="F188" s="1">
        <v>59.8</v>
      </c>
      <c r="G188">
        <v>0</v>
      </c>
      <c r="H188" s="1">
        <v>0</v>
      </c>
      <c r="I188" s="1">
        <v>0</v>
      </c>
      <c r="J188" s="1">
        <v>59.8</v>
      </c>
      <c r="K188" s="1">
        <v>6.05</v>
      </c>
      <c r="L188" s="1">
        <v>65.849999999999994</v>
      </c>
      <c r="M188">
        <v>3</v>
      </c>
    </row>
    <row r="189" spans="1:13" x14ac:dyDescent="0.2">
      <c r="A189" t="s">
        <v>332</v>
      </c>
      <c r="B189" t="s">
        <v>14</v>
      </c>
      <c r="C189">
        <v>9357490000081</v>
      </c>
      <c r="D189" t="s">
        <v>74</v>
      </c>
      <c r="E189">
        <v>4</v>
      </c>
      <c r="F189" s="1">
        <v>25.24</v>
      </c>
      <c r="G189">
        <v>0</v>
      </c>
      <c r="H189" s="1">
        <v>0</v>
      </c>
      <c r="I189" s="1">
        <v>0</v>
      </c>
      <c r="J189" s="1">
        <v>25.24</v>
      </c>
      <c r="K189" s="1">
        <v>2.56</v>
      </c>
      <c r="L189" s="1">
        <v>27.8</v>
      </c>
      <c r="M189">
        <v>4</v>
      </c>
    </row>
    <row r="190" spans="1:13" x14ac:dyDescent="0.2">
      <c r="A190" t="s">
        <v>81</v>
      </c>
      <c r="B190" t="s">
        <v>14</v>
      </c>
      <c r="C190">
        <v>9357490000067</v>
      </c>
      <c r="D190" t="s">
        <v>74</v>
      </c>
      <c r="E190">
        <v>4</v>
      </c>
      <c r="F190" s="1">
        <v>25.24</v>
      </c>
      <c r="G190">
        <v>0</v>
      </c>
      <c r="H190" s="1">
        <v>0</v>
      </c>
      <c r="I190" s="1">
        <v>0</v>
      </c>
      <c r="J190" s="1">
        <v>25.24</v>
      </c>
      <c r="K190" s="1">
        <v>2.56</v>
      </c>
      <c r="L190" s="1">
        <v>27.8</v>
      </c>
      <c r="M190">
        <v>4</v>
      </c>
    </row>
    <row r="191" spans="1:13" x14ac:dyDescent="0.2">
      <c r="A191" t="s">
        <v>768</v>
      </c>
      <c r="B191" t="s">
        <v>14</v>
      </c>
      <c r="C191">
        <v>9357490000289</v>
      </c>
      <c r="D191" t="s">
        <v>74</v>
      </c>
      <c r="E191">
        <v>2</v>
      </c>
      <c r="F191" s="1">
        <v>39.869999999999997</v>
      </c>
      <c r="G191">
        <v>0</v>
      </c>
      <c r="H191" s="1">
        <v>0</v>
      </c>
      <c r="I191" s="1">
        <v>0</v>
      </c>
      <c r="J191" s="1">
        <v>39.869999999999997</v>
      </c>
      <c r="K191" s="1">
        <v>4.03</v>
      </c>
      <c r="L191" s="1">
        <v>43.9</v>
      </c>
      <c r="M191">
        <v>2</v>
      </c>
    </row>
    <row r="192" spans="1:13" x14ac:dyDescent="0.2">
      <c r="A192" t="s">
        <v>333</v>
      </c>
      <c r="B192" t="s">
        <v>14</v>
      </c>
      <c r="C192">
        <v>9357490000715</v>
      </c>
      <c r="D192" t="s">
        <v>74</v>
      </c>
      <c r="E192">
        <v>2</v>
      </c>
      <c r="F192" s="1">
        <v>12.62</v>
      </c>
      <c r="G192">
        <v>0</v>
      </c>
      <c r="H192" s="1">
        <v>0</v>
      </c>
      <c r="I192" s="1">
        <v>0</v>
      </c>
      <c r="J192" s="1">
        <v>12.62</v>
      </c>
      <c r="K192" s="1">
        <v>1.28</v>
      </c>
      <c r="L192" s="1">
        <v>13.9</v>
      </c>
      <c r="M192">
        <v>2</v>
      </c>
    </row>
    <row r="193" spans="1:13" x14ac:dyDescent="0.2">
      <c r="A193" t="s">
        <v>82</v>
      </c>
      <c r="B193" t="s">
        <v>14</v>
      </c>
      <c r="C193">
        <v>9357490000050</v>
      </c>
      <c r="D193" t="s">
        <v>74</v>
      </c>
      <c r="E193">
        <v>10</v>
      </c>
      <c r="F193" s="1">
        <v>63.82</v>
      </c>
      <c r="G193">
        <v>0</v>
      </c>
      <c r="H193" s="1">
        <v>0</v>
      </c>
      <c r="I193" s="1">
        <v>-7.78</v>
      </c>
      <c r="J193" s="1">
        <v>56.04</v>
      </c>
      <c r="K193" s="1">
        <v>5.68</v>
      </c>
      <c r="L193" s="1">
        <v>61.72</v>
      </c>
      <c r="M193">
        <v>10</v>
      </c>
    </row>
    <row r="194" spans="1:13" x14ac:dyDescent="0.2">
      <c r="A194" t="s">
        <v>83</v>
      </c>
      <c r="B194" t="s">
        <v>14</v>
      </c>
      <c r="C194">
        <v>9357490000227</v>
      </c>
      <c r="D194" t="s">
        <v>74</v>
      </c>
      <c r="E194">
        <v>6</v>
      </c>
      <c r="F194" s="1">
        <v>76.02</v>
      </c>
      <c r="G194">
        <v>0</v>
      </c>
      <c r="H194" s="1">
        <v>0</v>
      </c>
      <c r="I194" s="1">
        <v>0</v>
      </c>
      <c r="J194" s="1">
        <v>76.02</v>
      </c>
      <c r="K194" s="1">
        <v>7.68</v>
      </c>
      <c r="L194" s="1">
        <v>83.7</v>
      </c>
      <c r="M194">
        <v>6</v>
      </c>
    </row>
    <row r="195" spans="1:13" x14ac:dyDescent="0.2">
      <c r="A195" t="s">
        <v>84</v>
      </c>
      <c r="B195" t="s">
        <v>14</v>
      </c>
      <c r="C195">
        <v>9357490000203</v>
      </c>
      <c r="D195" t="s">
        <v>74</v>
      </c>
      <c r="E195">
        <v>2</v>
      </c>
      <c r="F195" s="1">
        <v>25.34</v>
      </c>
      <c r="G195">
        <v>0</v>
      </c>
      <c r="H195" s="1">
        <v>0</v>
      </c>
      <c r="I195" s="1">
        <v>0</v>
      </c>
      <c r="J195" s="1">
        <v>25.34</v>
      </c>
      <c r="K195" s="1">
        <v>2.56</v>
      </c>
      <c r="L195" s="1">
        <v>27.9</v>
      </c>
      <c r="M195">
        <v>2</v>
      </c>
    </row>
    <row r="196" spans="1:13" x14ac:dyDescent="0.2">
      <c r="A196" t="s">
        <v>85</v>
      </c>
      <c r="B196" t="s">
        <v>14</v>
      </c>
      <c r="C196">
        <v>9357490000159</v>
      </c>
      <c r="D196" t="s">
        <v>74</v>
      </c>
      <c r="E196">
        <v>5</v>
      </c>
      <c r="F196" s="1">
        <v>63.42</v>
      </c>
      <c r="G196">
        <v>0</v>
      </c>
      <c r="H196" s="1">
        <v>0</v>
      </c>
      <c r="I196" s="1">
        <v>-0.76</v>
      </c>
      <c r="J196" s="1">
        <v>62.66</v>
      </c>
      <c r="K196" s="1">
        <v>6.33</v>
      </c>
      <c r="L196" s="1">
        <v>68.989999999999995</v>
      </c>
      <c r="M196">
        <v>5</v>
      </c>
    </row>
    <row r="197" spans="1:13" x14ac:dyDescent="0.2">
      <c r="A197" t="s">
        <v>987</v>
      </c>
      <c r="B197" t="s">
        <v>14</v>
      </c>
      <c r="C197">
        <v>9357490000432</v>
      </c>
      <c r="D197" t="s">
        <v>74</v>
      </c>
      <c r="E197">
        <v>13</v>
      </c>
      <c r="F197" s="1">
        <v>165.03</v>
      </c>
      <c r="G197">
        <v>0</v>
      </c>
      <c r="H197" s="1">
        <v>0</v>
      </c>
      <c r="I197" s="1">
        <v>-3.43</v>
      </c>
      <c r="J197" s="1">
        <v>161.6</v>
      </c>
      <c r="K197" s="1">
        <v>16.32</v>
      </c>
      <c r="L197" s="1">
        <v>177.92</v>
      </c>
      <c r="M197">
        <v>13</v>
      </c>
    </row>
    <row r="198" spans="1:13" x14ac:dyDescent="0.2">
      <c r="A198" t="s">
        <v>86</v>
      </c>
      <c r="B198" t="s">
        <v>14</v>
      </c>
      <c r="C198">
        <v>9357490000241</v>
      </c>
      <c r="D198" t="s">
        <v>74</v>
      </c>
      <c r="E198">
        <v>7</v>
      </c>
      <c r="F198" s="1">
        <v>88.69</v>
      </c>
      <c r="G198">
        <v>0</v>
      </c>
      <c r="H198" s="1">
        <v>0</v>
      </c>
      <c r="I198" s="1">
        <v>0</v>
      </c>
      <c r="J198" s="1">
        <v>88.69</v>
      </c>
      <c r="K198" s="1">
        <v>8.9600000000000009</v>
      </c>
      <c r="L198" s="1">
        <v>97.65</v>
      </c>
      <c r="M198">
        <v>7</v>
      </c>
    </row>
    <row r="199" spans="1:13" x14ac:dyDescent="0.2">
      <c r="A199" t="s">
        <v>515</v>
      </c>
      <c r="B199" t="s">
        <v>14</v>
      </c>
      <c r="C199">
        <v>9357490000197</v>
      </c>
      <c r="D199" t="s">
        <v>74</v>
      </c>
      <c r="E199">
        <v>5</v>
      </c>
      <c r="F199" s="1">
        <v>63.36</v>
      </c>
      <c r="G199">
        <v>0</v>
      </c>
      <c r="H199" s="1">
        <v>0</v>
      </c>
      <c r="I199" s="1">
        <v>0</v>
      </c>
      <c r="J199" s="1">
        <v>63.36</v>
      </c>
      <c r="K199" s="1">
        <v>6.39</v>
      </c>
      <c r="L199" s="1">
        <v>69.75</v>
      </c>
      <c r="M199">
        <v>5</v>
      </c>
    </row>
    <row r="200" spans="1:13" x14ac:dyDescent="0.2">
      <c r="A200" t="s">
        <v>87</v>
      </c>
      <c r="B200" t="s">
        <v>14</v>
      </c>
      <c r="C200">
        <v>9357490000173</v>
      </c>
      <c r="D200" t="s">
        <v>74</v>
      </c>
      <c r="E200">
        <v>4</v>
      </c>
      <c r="F200" s="1">
        <v>50.68</v>
      </c>
      <c r="G200">
        <v>0</v>
      </c>
      <c r="H200" s="1">
        <v>0</v>
      </c>
      <c r="I200" s="1">
        <v>0</v>
      </c>
      <c r="J200" s="1">
        <v>50.68</v>
      </c>
      <c r="K200" s="1">
        <v>5.12</v>
      </c>
      <c r="L200" s="1">
        <v>55.8</v>
      </c>
      <c r="M200">
        <v>4</v>
      </c>
    </row>
    <row r="201" spans="1:13" x14ac:dyDescent="0.2">
      <c r="A201" t="s">
        <v>334</v>
      </c>
      <c r="B201" t="s">
        <v>14</v>
      </c>
      <c r="C201">
        <v>9357490000722</v>
      </c>
      <c r="D201" t="s">
        <v>74</v>
      </c>
      <c r="E201">
        <v>5</v>
      </c>
      <c r="F201" s="1">
        <v>63.61</v>
      </c>
      <c r="G201">
        <v>0</v>
      </c>
      <c r="H201" s="1">
        <v>0</v>
      </c>
      <c r="I201" s="1">
        <v>-2.8</v>
      </c>
      <c r="J201" s="1">
        <v>60.81</v>
      </c>
      <c r="K201" s="1">
        <v>6.14</v>
      </c>
      <c r="L201" s="1">
        <v>66.95</v>
      </c>
      <c r="M201">
        <v>5</v>
      </c>
    </row>
    <row r="202" spans="1:13" x14ac:dyDescent="0.2">
      <c r="A202" t="s">
        <v>769</v>
      </c>
      <c r="B202" t="s">
        <v>14</v>
      </c>
      <c r="C202">
        <v>9357490000166</v>
      </c>
      <c r="D202" t="s">
        <v>74</v>
      </c>
      <c r="E202">
        <v>9</v>
      </c>
      <c r="F202" s="1">
        <v>114.6</v>
      </c>
      <c r="G202">
        <v>0</v>
      </c>
      <c r="H202" s="1">
        <v>0</v>
      </c>
      <c r="I202" s="1">
        <v>-6.2</v>
      </c>
      <c r="J202" s="1">
        <v>108.4</v>
      </c>
      <c r="K202" s="1">
        <v>10.95</v>
      </c>
      <c r="L202" s="1">
        <v>119.35</v>
      </c>
      <c r="M202">
        <v>9</v>
      </c>
    </row>
    <row r="203" spans="1:13" x14ac:dyDescent="0.2">
      <c r="A203" t="s">
        <v>88</v>
      </c>
      <c r="B203" t="s">
        <v>14</v>
      </c>
      <c r="C203">
        <v>9357490000180</v>
      </c>
      <c r="D203" t="s">
        <v>74</v>
      </c>
      <c r="E203">
        <v>2</v>
      </c>
      <c r="F203" s="1">
        <v>25.35</v>
      </c>
      <c r="G203">
        <v>0</v>
      </c>
      <c r="H203" s="1">
        <v>0</v>
      </c>
      <c r="I203" s="1">
        <v>0</v>
      </c>
      <c r="J203" s="1">
        <v>25.35</v>
      </c>
      <c r="K203" s="1">
        <v>2.5499999999999998</v>
      </c>
      <c r="L203" s="1">
        <v>27.9</v>
      </c>
      <c r="M203">
        <v>2</v>
      </c>
    </row>
    <row r="204" spans="1:13" x14ac:dyDescent="0.2">
      <c r="A204" t="s">
        <v>770</v>
      </c>
      <c r="B204" t="s">
        <v>14</v>
      </c>
      <c r="C204">
        <v>9357490000074</v>
      </c>
      <c r="D204" t="s">
        <v>74</v>
      </c>
      <c r="E204">
        <v>2</v>
      </c>
      <c r="F204" s="1">
        <v>12.62</v>
      </c>
      <c r="G204">
        <v>0</v>
      </c>
      <c r="H204" s="1">
        <v>0</v>
      </c>
      <c r="I204" s="1">
        <v>0</v>
      </c>
      <c r="J204" s="1">
        <v>12.62</v>
      </c>
      <c r="K204" s="1">
        <v>1.28</v>
      </c>
      <c r="L204" s="1">
        <v>13.9</v>
      </c>
      <c r="M204">
        <v>2</v>
      </c>
    </row>
    <row r="205" spans="1:13" x14ac:dyDescent="0.2">
      <c r="A205" t="s">
        <v>771</v>
      </c>
      <c r="B205" t="s">
        <v>14</v>
      </c>
      <c r="C205">
        <v>743966127687</v>
      </c>
      <c r="D205" t="s">
        <v>74</v>
      </c>
      <c r="E205">
        <v>1</v>
      </c>
      <c r="F205" s="1">
        <v>12.75</v>
      </c>
      <c r="G205">
        <v>0</v>
      </c>
      <c r="H205" s="1">
        <v>0</v>
      </c>
      <c r="I205" s="1">
        <v>0</v>
      </c>
      <c r="J205" s="1">
        <v>12.75</v>
      </c>
      <c r="K205" s="1">
        <v>0</v>
      </c>
      <c r="L205" s="1">
        <v>12.75</v>
      </c>
      <c r="M205">
        <v>1</v>
      </c>
    </row>
    <row r="206" spans="1:13" x14ac:dyDescent="0.2">
      <c r="A206" t="s">
        <v>988</v>
      </c>
      <c r="B206" t="s">
        <v>14</v>
      </c>
      <c r="C206">
        <v>9346659003346</v>
      </c>
      <c r="D206" t="s">
        <v>74</v>
      </c>
      <c r="E206">
        <v>2</v>
      </c>
      <c r="F206" s="1">
        <v>27.16</v>
      </c>
      <c r="G206">
        <v>0</v>
      </c>
      <c r="H206" s="1">
        <v>0</v>
      </c>
      <c r="I206" s="1">
        <v>0</v>
      </c>
      <c r="J206" s="1">
        <v>27.16</v>
      </c>
      <c r="K206" s="1">
        <v>2.74</v>
      </c>
      <c r="L206" s="1">
        <v>29.9</v>
      </c>
      <c r="M206">
        <v>2</v>
      </c>
    </row>
    <row r="207" spans="1:13" x14ac:dyDescent="0.2">
      <c r="A207" t="s">
        <v>989</v>
      </c>
      <c r="B207" t="s">
        <v>14</v>
      </c>
      <c r="C207">
        <v>9346659002516</v>
      </c>
      <c r="D207" t="s">
        <v>74</v>
      </c>
      <c r="E207">
        <v>1</v>
      </c>
      <c r="F207" s="1">
        <v>16.07</v>
      </c>
      <c r="G207">
        <v>0</v>
      </c>
      <c r="H207" s="1">
        <v>0</v>
      </c>
      <c r="I207" s="1">
        <v>-7.38</v>
      </c>
      <c r="J207" s="1">
        <v>8.69</v>
      </c>
      <c r="K207" s="1">
        <v>0.88</v>
      </c>
      <c r="L207" s="1">
        <v>9.57</v>
      </c>
      <c r="M207">
        <v>1</v>
      </c>
    </row>
    <row r="208" spans="1:13" x14ac:dyDescent="0.2">
      <c r="A208" t="s">
        <v>89</v>
      </c>
      <c r="B208" t="s">
        <v>14</v>
      </c>
      <c r="C208">
        <v>9338415000263</v>
      </c>
      <c r="D208" t="s">
        <v>74</v>
      </c>
      <c r="E208">
        <v>4</v>
      </c>
      <c r="F208" s="1">
        <v>71.92</v>
      </c>
      <c r="G208">
        <v>0</v>
      </c>
      <c r="H208" s="1">
        <v>0</v>
      </c>
      <c r="I208" s="1">
        <v>0</v>
      </c>
      <c r="J208" s="1">
        <v>71.92</v>
      </c>
      <c r="K208" s="1">
        <v>7.28</v>
      </c>
      <c r="L208" s="1">
        <v>79.2</v>
      </c>
      <c r="M208">
        <v>4</v>
      </c>
    </row>
    <row r="209" spans="1:13" x14ac:dyDescent="0.2">
      <c r="A209" t="s">
        <v>619</v>
      </c>
      <c r="B209" t="s">
        <v>14</v>
      </c>
      <c r="C209">
        <v>9338415000287</v>
      </c>
      <c r="D209" t="s">
        <v>74</v>
      </c>
      <c r="E209">
        <v>3</v>
      </c>
      <c r="F209" s="1">
        <v>51.49</v>
      </c>
      <c r="G209">
        <v>0</v>
      </c>
      <c r="H209" s="1">
        <v>0</v>
      </c>
      <c r="I209" s="1">
        <v>0</v>
      </c>
      <c r="J209" s="1">
        <v>51.49</v>
      </c>
      <c r="K209" s="1">
        <v>5.21</v>
      </c>
      <c r="L209" s="1">
        <v>56.7</v>
      </c>
      <c r="M209">
        <v>3</v>
      </c>
    </row>
    <row r="210" spans="1:13" x14ac:dyDescent="0.2">
      <c r="A210" t="s">
        <v>516</v>
      </c>
      <c r="B210" t="s">
        <v>14</v>
      </c>
      <c r="C210">
        <v>9338415000003</v>
      </c>
      <c r="D210" t="s">
        <v>74</v>
      </c>
      <c r="E210">
        <v>1</v>
      </c>
      <c r="F210" s="1">
        <v>17.98</v>
      </c>
      <c r="G210">
        <v>0</v>
      </c>
      <c r="H210" s="1">
        <v>0</v>
      </c>
      <c r="I210" s="1">
        <v>0</v>
      </c>
      <c r="J210" s="1">
        <v>17.98</v>
      </c>
      <c r="K210" s="1">
        <v>1.82</v>
      </c>
      <c r="L210" s="1">
        <v>19.8</v>
      </c>
      <c r="M210">
        <v>1</v>
      </c>
    </row>
    <row r="211" spans="1:13" x14ac:dyDescent="0.2">
      <c r="A211" t="s">
        <v>772</v>
      </c>
      <c r="B211" t="s">
        <v>14</v>
      </c>
      <c r="C211">
        <v>8720701144859</v>
      </c>
      <c r="D211" t="s">
        <v>74</v>
      </c>
      <c r="E211">
        <v>1</v>
      </c>
      <c r="F211" s="1">
        <v>13.26</v>
      </c>
      <c r="G211">
        <v>0</v>
      </c>
      <c r="H211" s="1">
        <v>0</v>
      </c>
      <c r="I211" s="1">
        <v>0</v>
      </c>
      <c r="J211" s="1">
        <v>13.26</v>
      </c>
      <c r="K211" s="1">
        <v>1.34</v>
      </c>
      <c r="L211" s="1">
        <v>14.6</v>
      </c>
      <c r="M211">
        <v>1</v>
      </c>
    </row>
    <row r="212" spans="1:13" x14ac:dyDescent="0.2">
      <c r="A212" t="s">
        <v>990</v>
      </c>
      <c r="B212" t="s">
        <v>14</v>
      </c>
      <c r="C212">
        <v>858010005108</v>
      </c>
      <c r="D212" t="s">
        <v>74</v>
      </c>
      <c r="E212">
        <v>3</v>
      </c>
      <c r="F212" s="1">
        <v>12.53</v>
      </c>
      <c r="G212">
        <v>0</v>
      </c>
      <c r="H212" s="1">
        <v>0</v>
      </c>
      <c r="I212" s="1">
        <v>0</v>
      </c>
      <c r="J212" s="1">
        <v>12.53</v>
      </c>
      <c r="K212" s="1">
        <v>1.27</v>
      </c>
      <c r="L212" s="1">
        <v>13.8</v>
      </c>
      <c r="M212">
        <v>3</v>
      </c>
    </row>
    <row r="213" spans="1:13" x14ac:dyDescent="0.2">
      <c r="A213" t="s">
        <v>620</v>
      </c>
      <c r="B213" t="s">
        <v>14</v>
      </c>
      <c r="C213">
        <v>5901154045181</v>
      </c>
      <c r="D213" t="s">
        <v>90</v>
      </c>
      <c r="E213">
        <v>1</v>
      </c>
      <c r="F213" s="1">
        <v>12.25</v>
      </c>
      <c r="G213">
        <v>0</v>
      </c>
      <c r="H213" s="1">
        <v>0</v>
      </c>
      <c r="I213" s="1">
        <v>0</v>
      </c>
      <c r="J213" s="1">
        <v>12.25</v>
      </c>
      <c r="K213" s="1">
        <v>0</v>
      </c>
      <c r="L213" s="1">
        <v>12.25</v>
      </c>
      <c r="M213">
        <v>1</v>
      </c>
    </row>
    <row r="214" spans="1:13" x14ac:dyDescent="0.2">
      <c r="A214" t="s">
        <v>621</v>
      </c>
      <c r="B214" t="s">
        <v>14</v>
      </c>
      <c r="C214">
        <v>9323752005200</v>
      </c>
      <c r="D214" t="s">
        <v>90</v>
      </c>
      <c r="E214">
        <v>2</v>
      </c>
      <c r="F214" s="1">
        <v>34</v>
      </c>
      <c r="G214">
        <v>0</v>
      </c>
      <c r="H214" s="1">
        <v>0</v>
      </c>
      <c r="I214" s="1">
        <v>0</v>
      </c>
      <c r="J214" s="1">
        <v>34</v>
      </c>
      <c r="K214" s="1">
        <v>0</v>
      </c>
      <c r="L214" s="1">
        <v>34</v>
      </c>
      <c r="M214">
        <v>2</v>
      </c>
    </row>
    <row r="215" spans="1:13" x14ac:dyDescent="0.2">
      <c r="A215" t="s">
        <v>991</v>
      </c>
      <c r="B215" t="s">
        <v>14</v>
      </c>
      <c r="C215">
        <v>9316774170001</v>
      </c>
      <c r="D215" t="s">
        <v>90</v>
      </c>
      <c r="E215">
        <v>1</v>
      </c>
      <c r="F215" s="1">
        <v>11.75</v>
      </c>
      <c r="G215">
        <v>0</v>
      </c>
      <c r="H215" s="1">
        <v>0</v>
      </c>
      <c r="I215" s="1">
        <v>0</v>
      </c>
      <c r="J215" s="1">
        <v>11.75</v>
      </c>
      <c r="K215" s="1">
        <v>0</v>
      </c>
      <c r="L215" s="1">
        <v>11.75</v>
      </c>
      <c r="M215">
        <v>1</v>
      </c>
    </row>
    <row r="216" spans="1:13" x14ac:dyDescent="0.2">
      <c r="A216" t="s">
        <v>389</v>
      </c>
      <c r="B216" t="s">
        <v>14</v>
      </c>
      <c r="C216">
        <v>9356170000434</v>
      </c>
      <c r="D216" t="s">
        <v>90</v>
      </c>
      <c r="E216">
        <v>2</v>
      </c>
      <c r="F216" s="1">
        <v>5</v>
      </c>
      <c r="G216">
        <v>0</v>
      </c>
      <c r="H216" s="1">
        <v>0</v>
      </c>
      <c r="I216" s="1">
        <v>0</v>
      </c>
      <c r="J216" s="1">
        <v>5</v>
      </c>
      <c r="K216" s="1">
        <v>0</v>
      </c>
      <c r="L216" s="1">
        <v>5</v>
      </c>
      <c r="M216">
        <v>2</v>
      </c>
    </row>
    <row r="217" spans="1:13" x14ac:dyDescent="0.2">
      <c r="A217" t="s">
        <v>416</v>
      </c>
      <c r="B217" t="s">
        <v>14</v>
      </c>
      <c r="C217">
        <v>9356170000427</v>
      </c>
      <c r="D217" t="s">
        <v>90</v>
      </c>
      <c r="E217">
        <v>3</v>
      </c>
      <c r="F217" s="1">
        <v>6.81</v>
      </c>
      <c r="G217">
        <v>0</v>
      </c>
      <c r="H217" s="1">
        <v>0</v>
      </c>
      <c r="I217" s="1">
        <v>0</v>
      </c>
      <c r="J217" s="1">
        <v>6.81</v>
      </c>
      <c r="K217" s="1">
        <v>0.69</v>
      </c>
      <c r="L217" s="1">
        <v>7.5</v>
      </c>
      <c r="M217">
        <v>3</v>
      </c>
    </row>
    <row r="218" spans="1:13" x14ac:dyDescent="0.2">
      <c r="A218" t="s">
        <v>773</v>
      </c>
      <c r="B218" t="s">
        <v>14</v>
      </c>
      <c r="C218">
        <v>9356170001684</v>
      </c>
      <c r="D218" t="s">
        <v>90</v>
      </c>
      <c r="E218">
        <v>12</v>
      </c>
      <c r="F218" s="1">
        <v>27.24</v>
      </c>
      <c r="G218">
        <v>0</v>
      </c>
      <c r="H218" s="1">
        <v>0</v>
      </c>
      <c r="I218" s="1">
        <v>0</v>
      </c>
      <c r="J218" s="1">
        <v>27.24</v>
      </c>
      <c r="K218" s="1">
        <v>2.76</v>
      </c>
      <c r="L218" s="1">
        <v>30</v>
      </c>
      <c r="M218">
        <v>12</v>
      </c>
    </row>
    <row r="219" spans="1:13" x14ac:dyDescent="0.2">
      <c r="A219" t="s">
        <v>992</v>
      </c>
      <c r="B219" t="s">
        <v>14</v>
      </c>
      <c r="C219">
        <v>9421907983066</v>
      </c>
      <c r="D219" t="s">
        <v>90</v>
      </c>
      <c r="E219">
        <v>1</v>
      </c>
      <c r="F219" s="1">
        <v>27.74</v>
      </c>
      <c r="G219">
        <v>0</v>
      </c>
      <c r="H219" s="1">
        <v>0</v>
      </c>
      <c r="I219" s="1">
        <v>0</v>
      </c>
      <c r="J219" s="1">
        <v>27.74</v>
      </c>
      <c r="K219" s="1">
        <v>2.81</v>
      </c>
      <c r="L219" s="1">
        <v>30.55</v>
      </c>
      <c r="M219">
        <v>1</v>
      </c>
    </row>
    <row r="220" spans="1:13" x14ac:dyDescent="0.2">
      <c r="A220" t="s">
        <v>993</v>
      </c>
      <c r="B220" t="s">
        <v>14</v>
      </c>
      <c r="C220">
        <v>9415531111070</v>
      </c>
      <c r="D220" t="s">
        <v>90</v>
      </c>
      <c r="E220">
        <v>1</v>
      </c>
      <c r="F220" s="1">
        <v>24.75</v>
      </c>
      <c r="G220">
        <v>0</v>
      </c>
      <c r="H220" s="1">
        <v>0</v>
      </c>
      <c r="I220" s="1">
        <v>-4.96</v>
      </c>
      <c r="J220" s="1">
        <v>19.79</v>
      </c>
      <c r="K220" s="1">
        <v>0</v>
      </c>
      <c r="L220" s="1">
        <v>19.79</v>
      </c>
      <c r="M220">
        <v>1</v>
      </c>
    </row>
    <row r="221" spans="1:13" x14ac:dyDescent="0.2">
      <c r="A221" t="s">
        <v>994</v>
      </c>
      <c r="B221" t="s">
        <v>14</v>
      </c>
      <c r="C221">
        <v>3258831001018</v>
      </c>
      <c r="D221" t="s">
        <v>91</v>
      </c>
      <c r="E221">
        <v>3</v>
      </c>
      <c r="F221" s="1">
        <v>29.4</v>
      </c>
      <c r="G221">
        <v>0</v>
      </c>
      <c r="H221" s="1">
        <v>0</v>
      </c>
      <c r="I221" s="1">
        <v>-1.29</v>
      </c>
      <c r="J221" s="1">
        <v>28.11</v>
      </c>
      <c r="K221" s="1">
        <v>0</v>
      </c>
      <c r="L221" s="1">
        <v>28.11</v>
      </c>
      <c r="M221">
        <v>3</v>
      </c>
    </row>
    <row r="222" spans="1:13" x14ac:dyDescent="0.2">
      <c r="A222" t="s">
        <v>774</v>
      </c>
      <c r="B222" t="s">
        <v>14</v>
      </c>
      <c r="C222">
        <v>9309000986002</v>
      </c>
      <c r="D222" t="s">
        <v>91</v>
      </c>
      <c r="E222">
        <v>1</v>
      </c>
      <c r="F222" s="1">
        <v>12.1</v>
      </c>
      <c r="G222">
        <v>0</v>
      </c>
      <c r="H222" s="1">
        <v>0</v>
      </c>
      <c r="I222" s="1">
        <v>0</v>
      </c>
      <c r="J222" s="1">
        <v>12.1</v>
      </c>
      <c r="K222" s="1">
        <v>0</v>
      </c>
      <c r="L222" s="1">
        <v>12.1</v>
      </c>
      <c r="M222">
        <v>1</v>
      </c>
    </row>
    <row r="223" spans="1:13" x14ac:dyDescent="0.2">
      <c r="A223" t="s">
        <v>775</v>
      </c>
      <c r="B223" t="s">
        <v>14</v>
      </c>
      <c r="C223">
        <v>9312336791073</v>
      </c>
      <c r="D223" t="s">
        <v>91</v>
      </c>
      <c r="E223">
        <v>2</v>
      </c>
      <c r="F223" s="1">
        <v>12.7</v>
      </c>
      <c r="G223">
        <v>0</v>
      </c>
      <c r="H223" s="1">
        <v>0</v>
      </c>
      <c r="I223" s="1">
        <v>0</v>
      </c>
      <c r="J223" s="1">
        <v>12.7</v>
      </c>
      <c r="K223" s="1">
        <v>0</v>
      </c>
      <c r="L223" s="1">
        <v>12.7</v>
      </c>
      <c r="M223">
        <v>2</v>
      </c>
    </row>
    <row r="224" spans="1:13" x14ac:dyDescent="0.2">
      <c r="A224" t="s">
        <v>995</v>
      </c>
      <c r="B224" t="s">
        <v>14</v>
      </c>
      <c r="C224">
        <v>9312336763018</v>
      </c>
      <c r="D224" t="s">
        <v>91</v>
      </c>
      <c r="E224">
        <v>1</v>
      </c>
      <c r="F224" s="1">
        <v>7.15</v>
      </c>
      <c r="G224">
        <v>0</v>
      </c>
      <c r="H224" s="1">
        <v>0</v>
      </c>
      <c r="I224" s="1">
        <v>0</v>
      </c>
      <c r="J224" s="1">
        <v>7.15</v>
      </c>
      <c r="K224" s="1">
        <v>0</v>
      </c>
      <c r="L224" s="1">
        <v>7.15</v>
      </c>
      <c r="M224">
        <v>1</v>
      </c>
    </row>
    <row r="225" spans="1:13" x14ac:dyDescent="0.2">
      <c r="A225" t="s">
        <v>776</v>
      </c>
      <c r="B225" t="s">
        <v>14</v>
      </c>
      <c r="C225">
        <v>784927404133</v>
      </c>
      <c r="D225" t="s">
        <v>91</v>
      </c>
      <c r="E225">
        <v>1</v>
      </c>
      <c r="F225" s="1">
        <v>15.95</v>
      </c>
      <c r="G225">
        <v>0</v>
      </c>
      <c r="H225" s="1">
        <v>0</v>
      </c>
      <c r="I225" s="1">
        <v>0</v>
      </c>
      <c r="J225" s="1">
        <v>15.95</v>
      </c>
      <c r="K225" s="1">
        <v>0</v>
      </c>
      <c r="L225" s="1">
        <v>15.95</v>
      </c>
      <c r="M225">
        <v>1</v>
      </c>
    </row>
    <row r="226" spans="1:13" x14ac:dyDescent="0.2">
      <c r="A226" t="s">
        <v>92</v>
      </c>
      <c r="B226" t="s">
        <v>14</v>
      </c>
      <c r="C226">
        <v>784927404072</v>
      </c>
      <c r="D226" t="s">
        <v>91</v>
      </c>
      <c r="E226">
        <v>2</v>
      </c>
      <c r="F226" s="1">
        <v>33.4</v>
      </c>
      <c r="G226">
        <v>0</v>
      </c>
      <c r="H226" s="1">
        <v>0</v>
      </c>
      <c r="I226" s="1">
        <v>-0.41</v>
      </c>
      <c r="J226" s="1">
        <v>32.99</v>
      </c>
      <c r="K226" s="1">
        <v>0</v>
      </c>
      <c r="L226" s="1">
        <v>32.99</v>
      </c>
      <c r="M226">
        <v>2</v>
      </c>
    </row>
    <row r="227" spans="1:13" x14ac:dyDescent="0.2">
      <c r="A227" t="s">
        <v>777</v>
      </c>
      <c r="B227" t="s">
        <v>14</v>
      </c>
      <c r="C227">
        <v>784927404089</v>
      </c>
      <c r="D227" t="s">
        <v>91</v>
      </c>
      <c r="E227">
        <v>1</v>
      </c>
      <c r="F227" s="1">
        <v>9.9499999999999993</v>
      </c>
      <c r="G227">
        <v>0</v>
      </c>
      <c r="H227" s="1">
        <v>0</v>
      </c>
      <c r="I227" s="1">
        <v>0</v>
      </c>
      <c r="J227" s="1">
        <v>9.9499999999999993</v>
      </c>
      <c r="K227" s="1">
        <v>0</v>
      </c>
      <c r="L227" s="1">
        <v>9.9499999999999993</v>
      </c>
      <c r="M227">
        <v>1</v>
      </c>
    </row>
    <row r="228" spans="1:13" x14ac:dyDescent="0.2">
      <c r="A228" t="s">
        <v>996</v>
      </c>
      <c r="B228" t="s">
        <v>14</v>
      </c>
      <c r="C228">
        <v>9352930000324</v>
      </c>
      <c r="D228" t="s">
        <v>93</v>
      </c>
      <c r="E228">
        <v>1</v>
      </c>
      <c r="F228" s="1">
        <v>10.91</v>
      </c>
      <c r="G228">
        <v>0</v>
      </c>
      <c r="H228" s="1">
        <v>0</v>
      </c>
      <c r="I228" s="1">
        <v>0</v>
      </c>
      <c r="J228" s="1">
        <v>10.91</v>
      </c>
      <c r="K228" s="1">
        <v>1.0900000000000001</v>
      </c>
      <c r="L228" s="1">
        <v>12</v>
      </c>
      <c r="M228">
        <v>1</v>
      </c>
    </row>
    <row r="229" spans="1:13" x14ac:dyDescent="0.2">
      <c r="A229" t="s">
        <v>997</v>
      </c>
      <c r="B229" t="s">
        <v>14</v>
      </c>
      <c r="C229">
        <v>9352930000317</v>
      </c>
      <c r="D229" t="s">
        <v>93</v>
      </c>
      <c r="E229">
        <v>1</v>
      </c>
      <c r="F229" s="1">
        <v>10.9</v>
      </c>
      <c r="G229">
        <v>0</v>
      </c>
      <c r="H229" s="1">
        <v>0</v>
      </c>
      <c r="I229" s="1">
        <v>0</v>
      </c>
      <c r="J229" s="1">
        <v>10.9</v>
      </c>
      <c r="K229" s="1">
        <v>1.1000000000000001</v>
      </c>
      <c r="L229" s="1">
        <v>12</v>
      </c>
      <c r="M229">
        <v>1</v>
      </c>
    </row>
    <row r="230" spans="1:13" x14ac:dyDescent="0.2">
      <c r="A230" t="s">
        <v>622</v>
      </c>
      <c r="B230" t="s">
        <v>14</v>
      </c>
      <c r="C230">
        <v>9421904624238</v>
      </c>
      <c r="D230" t="s">
        <v>93</v>
      </c>
      <c r="E230">
        <v>1</v>
      </c>
      <c r="F230" s="1">
        <v>8.9499999999999993</v>
      </c>
      <c r="G230">
        <v>0</v>
      </c>
      <c r="H230" s="1">
        <v>0</v>
      </c>
      <c r="I230" s="1">
        <v>0</v>
      </c>
      <c r="J230" s="1">
        <v>8.9499999999999993</v>
      </c>
      <c r="K230" s="1">
        <v>0.9</v>
      </c>
      <c r="L230" s="1">
        <v>9.85</v>
      </c>
      <c r="M230">
        <v>1</v>
      </c>
    </row>
    <row r="231" spans="1:13" x14ac:dyDescent="0.2">
      <c r="A231" t="s">
        <v>623</v>
      </c>
      <c r="B231" t="s">
        <v>14</v>
      </c>
      <c r="C231">
        <v>9347852001573</v>
      </c>
      <c r="D231" t="s">
        <v>93</v>
      </c>
      <c r="E231">
        <v>1</v>
      </c>
      <c r="F231" s="1">
        <v>3.04</v>
      </c>
      <c r="G231">
        <v>0</v>
      </c>
      <c r="H231" s="1">
        <v>0</v>
      </c>
      <c r="I231" s="1">
        <v>0</v>
      </c>
      <c r="J231" s="1">
        <v>3.04</v>
      </c>
      <c r="K231" s="1">
        <v>0.31</v>
      </c>
      <c r="L231" s="1">
        <v>3.35</v>
      </c>
      <c r="M231">
        <v>1</v>
      </c>
    </row>
    <row r="232" spans="1:13" x14ac:dyDescent="0.2">
      <c r="A232" t="s">
        <v>624</v>
      </c>
      <c r="B232" t="s">
        <v>14</v>
      </c>
      <c r="C232">
        <v>9415748004554</v>
      </c>
      <c r="D232" t="s">
        <v>94</v>
      </c>
      <c r="E232">
        <v>4</v>
      </c>
      <c r="F232" s="1">
        <v>17.399999999999999</v>
      </c>
      <c r="G232">
        <v>0</v>
      </c>
      <c r="H232" s="1">
        <v>0</v>
      </c>
      <c r="I232" s="1">
        <v>-0.82</v>
      </c>
      <c r="J232" s="1">
        <v>16.579999999999998</v>
      </c>
      <c r="K232" s="1">
        <v>0</v>
      </c>
      <c r="L232" s="1">
        <v>16.579999999999998</v>
      </c>
      <c r="M232">
        <v>4</v>
      </c>
    </row>
    <row r="233" spans="1:13" x14ac:dyDescent="0.2">
      <c r="A233" t="s">
        <v>625</v>
      </c>
      <c r="B233" t="s">
        <v>14</v>
      </c>
      <c r="C233">
        <v>9415748004622</v>
      </c>
      <c r="D233" t="s">
        <v>94</v>
      </c>
      <c r="E233">
        <v>2</v>
      </c>
      <c r="F233" s="1">
        <v>8.1999999999999993</v>
      </c>
      <c r="G233">
        <v>0</v>
      </c>
      <c r="H233" s="1">
        <v>0</v>
      </c>
      <c r="I233" s="1">
        <v>-0.28000000000000003</v>
      </c>
      <c r="J233" s="1">
        <v>7.92</v>
      </c>
      <c r="K233" s="1">
        <v>0.8</v>
      </c>
      <c r="L233" s="1">
        <v>8.7200000000000006</v>
      </c>
      <c r="M233">
        <v>2</v>
      </c>
    </row>
    <row r="234" spans="1:13" x14ac:dyDescent="0.2">
      <c r="A234" t="s">
        <v>368</v>
      </c>
      <c r="B234" t="s">
        <v>14</v>
      </c>
      <c r="C234">
        <v>9415748005100</v>
      </c>
      <c r="D234" t="s">
        <v>94</v>
      </c>
      <c r="E234">
        <v>2</v>
      </c>
      <c r="F234" s="1">
        <v>8.6999999999999993</v>
      </c>
      <c r="G234">
        <v>0</v>
      </c>
      <c r="H234" s="1">
        <v>0</v>
      </c>
      <c r="I234" s="1">
        <v>0</v>
      </c>
      <c r="J234" s="1">
        <v>8.6999999999999993</v>
      </c>
      <c r="K234" s="1">
        <v>0</v>
      </c>
      <c r="L234" s="1">
        <v>8.6999999999999993</v>
      </c>
      <c r="M234">
        <v>2</v>
      </c>
    </row>
    <row r="235" spans="1:13" x14ac:dyDescent="0.2">
      <c r="A235" t="s">
        <v>626</v>
      </c>
      <c r="B235" t="s">
        <v>14</v>
      </c>
      <c r="C235">
        <v>9415748010630</v>
      </c>
      <c r="D235" t="s">
        <v>94</v>
      </c>
      <c r="E235">
        <v>3</v>
      </c>
      <c r="F235" s="1">
        <v>12.29</v>
      </c>
      <c r="G235">
        <v>0</v>
      </c>
      <c r="H235" s="1">
        <v>0</v>
      </c>
      <c r="I235" s="1">
        <v>-0.24</v>
      </c>
      <c r="J235" s="1">
        <v>12.05</v>
      </c>
      <c r="K235" s="1">
        <v>1.21</v>
      </c>
      <c r="L235" s="1">
        <v>13.26</v>
      </c>
      <c r="M235">
        <v>3</v>
      </c>
    </row>
    <row r="236" spans="1:13" x14ac:dyDescent="0.2">
      <c r="A236" t="s">
        <v>778</v>
      </c>
      <c r="B236" t="s">
        <v>14</v>
      </c>
      <c r="C236">
        <v>9415748005117</v>
      </c>
      <c r="D236" t="s">
        <v>94</v>
      </c>
      <c r="E236">
        <v>1</v>
      </c>
      <c r="F236" s="1">
        <v>4.3499999999999996</v>
      </c>
      <c r="G236">
        <v>0</v>
      </c>
      <c r="H236" s="1">
        <v>0</v>
      </c>
      <c r="I236" s="1">
        <v>0</v>
      </c>
      <c r="J236" s="1">
        <v>4.3499999999999996</v>
      </c>
      <c r="K236" s="1">
        <v>0</v>
      </c>
      <c r="L236" s="1">
        <v>4.3499999999999996</v>
      </c>
      <c r="M236">
        <v>1</v>
      </c>
    </row>
    <row r="237" spans="1:13" x14ac:dyDescent="0.2">
      <c r="A237" t="s">
        <v>998</v>
      </c>
      <c r="B237" t="s">
        <v>14</v>
      </c>
      <c r="C237">
        <v>9369998121564</v>
      </c>
      <c r="D237" t="s">
        <v>94</v>
      </c>
      <c r="E237">
        <v>2</v>
      </c>
      <c r="F237" s="1">
        <v>16.62</v>
      </c>
      <c r="G237">
        <v>0</v>
      </c>
      <c r="H237" s="1">
        <v>0</v>
      </c>
      <c r="I237" s="1">
        <v>0</v>
      </c>
      <c r="J237" s="1">
        <v>16.62</v>
      </c>
      <c r="K237" s="1">
        <v>1.68</v>
      </c>
      <c r="L237" s="1">
        <v>18.3</v>
      </c>
      <c r="M237">
        <v>2</v>
      </c>
    </row>
    <row r="238" spans="1:13" x14ac:dyDescent="0.2">
      <c r="A238" t="s">
        <v>999</v>
      </c>
      <c r="B238" t="s">
        <v>14</v>
      </c>
      <c r="C238">
        <v>9357335000016</v>
      </c>
      <c r="D238" t="s">
        <v>94</v>
      </c>
      <c r="E238">
        <v>1</v>
      </c>
      <c r="F238" s="1">
        <v>8.31</v>
      </c>
      <c r="G238">
        <v>0</v>
      </c>
      <c r="H238" s="1">
        <v>0</v>
      </c>
      <c r="I238" s="1">
        <v>0</v>
      </c>
      <c r="J238" s="1">
        <v>8.31</v>
      </c>
      <c r="K238" s="1">
        <v>0.84</v>
      </c>
      <c r="L238" s="1">
        <v>9.15</v>
      </c>
      <c r="M238">
        <v>1</v>
      </c>
    </row>
    <row r="239" spans="1:13" x14ac:dyDescent="0.2">
      <c r="A239" t="s">
        <v>779</v>
      </c>
      <c r="B239" t="s">
        <v>14</v>
      </c>
      <c r="C239">
        <v>9345062001635</v>
      </c>
      <c r="D239" t="s">
        <v>94</v>
      </c>
      <c r="E239">
        <v>1</v>
      </c>
      <c r="F239" s="1">
        <v>7.86</v>
      </c>
      <c r="G239">
        <v>0</v>
      </c>
      <c r="H239" s="1">
        <v>0</v>
      </c>
      <c r="I239" s="1">
        <v>0</v>
      </c>
      <c r="J239" s="1">
        <v>7.86</v>
      </c>
      <c r="K239" s="1">
        <v>0.79</v>
      </c>
      <c r="L239" s="1">
        <v>8.65</v>
      </c>
      <c r="M239">
        <v>1</v>
      </c>
    </row>
    <row r="240" spans="1:13" x14ac:dyDescent="0.2">
      <c r="A240" t="s">
        <v>517</v>
      </c>
      <c r="B240" t="s">
        <v>14</v>
      </c>
      <c r="C240">
        <v>9345062001642</v>
      </c>
      <c r="D240" t="s">
        <v>94</v>
      </c>
      <c r="E240">
        <v>1</v>
      </c>
      <c r="F240" s="1">
        <v>7.93</v>
      </c>
      <c r="G240">
        <v>0</v>
      </c>
      <c r="H240" s="1">
        <v>0</v>
      </c>
      <c r="I240" s="1">
        <v>-0.86</v>
      </c>
      <c r="J240" s="1">
        <v>7.07</v>
      </c>
      <c r="K240" s="1">
        <v>0.72</v>
      </c>
      <c r="L240" s="1">
        <v>7.79</v>
      </c>
      <c r="M240">
        <v>1</v>
      </c>
    </row>
    <row r="241" spans="1:13" x14ac:dyDescent="0.2">
      <c r="A241" t="s">
        <v>1000</v>
      </c>
      <c r="B241" t="s">
        <v>14</v>
      </c>
      <c r="C241">
        <v>9421902189081</v>
      </c>
      <c r="D241" t="s">
        <v>94</v>
      </c>
      <c r="E241">
        <v>1</v>
      </c>
      <c r="F241" s="1">
        <v>13.67</v>
      </c>
      <c r="G241">
        <v>0</v>
      </c>
      <c r="H241" s="1">
        <v>0</v>
      </c>
      <c r="I241" s="1">
        <v>0</v>
      </c>
      <c r="J241" s="1">
        <v>13.67</v>
      </c>
      <c r="K241" s="1">
        <v>1.38</v>
      </c>
      <c r="L241" s="1">
        <v>15.05</v>
      </c>
      <c r="M241">
        <v>1</v>
      </c>
    </row>
    <row r="242" spans="1:13" x14ac:dyDescent="0.2">
      <c r="A242" t="s">
        <v>1001</v>
      </c>
      <c r="B242" t="s">
        <v>14</v>
      </c>
      <c r="C242">
        <v>9355644000253</v>
      </c>
      <c r="D242" t="s">
        <v>94</v>
      </c>
      <c r="E242">
        <v>1</v>
      </c>
      <c r="F242" s="1">
        <v>10.26</v>
      </c>
      <c r="G242">
        <v>0</v>
      </c>
      <c r="H242" s="1">
        <v>0</v>
      </c>
      <c r="I242" s="1">
        <v>0</v>
      </c>
      <c r="J242" s="1">
        <v>10.26</v>
      </c>
      <c r="K242" s="1">
        <v>1.04</v>
      </c>
      <c r="L242" s="1">
        <v>11.3</v>
      </c>
      <c r="M242">
        <v>1</v>
      </c>
    </row>
    <row r="243" spans="1:13" x14ac:dyDescent="0.2">
      <c r="A243" t="s">
        <v>1002</v>
      </c>
      <c r="B243" t="s">
        <v>14</v>
      </c>
      <c r="C243">
        <v>897580000137</v>
      </c>
      <c r="D243" t="s">
        <v>94</v>
      </c>
      <c r="E243">
        <v>3</v>
      </c>
      <c r="F243" s="1">
        <v>35.090000000000003</v>
      </c>
      <c r="G243">
        <v>0</v>
      </c>
      <c r="H243" s="1">
        <v>0</v>
      </c>
      <c r="I243" s="1">
        <v>-11.25</v>
      </c>
      <c r="J243" s="1">
        <v>23.84</v>
      </c>
      <c r="K243" s="1">
        <v>2.41</v>
      </c>
      <c r="L243" s="1">
        <v>26.25</v>
      </c>
      <c r="M243">
        <v>3</v>
      </c>
    </row>
    <row r="244" spans="1:13" x14ac:dyDescent="0.2">
      <c r="A244" t="s">
        <v>518</v>
      </c>
      <c r="B244" t="s">
        <v>14</v>
      </c>
      <c r="C244">
        <v>897580000106</v>
      </c>
      <c r="D244" t="s">
        <v>94</v>
      </c>
      <c r="E244">
        <v>2</v>
      </c>
      <c r="F244" s="1">
        <v>22.82</v>
      </c>
      <c r="G244">
        <v>0</v>
      </c>
      <c r="H244" s="1">
        <v>0</v>
      </c>
      <c r="I244" s="1">
        <v>-1.32</v>
      </c>
      <c r="J244" s="1">
        <v>21.5</v>
      </c>
      <c r="K244" s="1">
        <v>2.1800000000000002</v>
      </c>
      <c r="L244" s="1">
        <v>23.68</v>
      </c>
      <c r="M244">
        <v>2</v>
      </c>
    </row>
    <row r="245" spans="1:13" x14ac:dyDescent="0.2">
      <c r="A245" t="s">
        <v>1003</v>
      </c>
      <c r="B245" t="s">
        <v>14</v>
      </c>
      <c r="C245">
        <v>9351475000318</v>
      </c>
      <c r="D245" t="s">
        <v>94</v>
      </c>
      <c r="E245">
        <v>1</v>
      </c>
      <c r="F245" s="1">
        <v>13.62</v>
      </c>
      <c r="G245">
        <v>0</v>
      </c>
      <c r="H245" s="1">
        <v>0</v>
      </c>
      <c r="I245" s="1">
        <v>0</v>
      </c>
      <c r="J245" s="1">
        <v>13.62</v>
      </c>
      <c r="K245" s="1">
        <v>1.38</v>
      </c>
      <c r="L245" s="1">
        <v>15</v>
      </c>
      <c r="M245">
        <v>1</v>
      </c>
    </row>
    <row r="246" spans="1:13" x14ac:dyDescent="0.2">
      <c r="A246" t="s">
        <v>1004</v>
      </c>
      <c r="B246" t="s">
        <v>14</v>
      </c>
      <c r="C246">
        <v>9351475000301</v>
      </c>
      <c r="D246" t="s">
        <v>94</v>
      </c>
      <c r="E246">
        <v>1</v>
      </c>
      <c r="F246" s="1">
        <v>13.62</v>
      </c>
      <c r="G246">
        <v>0</v>
      </c>
      <c r="H246" s="1">
        <v>0</v>
      </c>
      <c r="I246" s="1">
        <v>0</v>
      </c>
      <c r="J246" s="1">
        <v>13.62</v>
      </c>
      <c r="K246" s="1">
        <v>1.38</v>
      </c>
      <c r="L246" s="1">
        <v>15</v>
      </c>
      <c r="M246">
        <v>1</v>
      </c>
    </row>
    <row r="247" spans="1:13" x14ac:dyDescent="0.2">
      <c r="A247" t="s">
        <v>627</v>
      </c>
      <c r="B247" t="s">
        <v>14</v>
      </c>
      <c r="C247">
        <v>9351450004836</v>
      </c>
      <c r="D247" t="s">
        <v>94</v>
      </c>
      <c r="E247">
        <v>1</v>
      </c>
      <c r="F247" s="1">
        <v>7.22</v>
      </c>
      <c r="G247">
        <v>0</v>
      </c>
      <c r="H247" s="1">
        <v>0</v>
      </c>
      <c r="I247" s="1">
        <v>0</v>
      </c>
      <c r="J247" s="1">
        <v>7.22</v>
      </c>
      <c r="K247" s="1">
        <v>0.73</v>
      </c>
      <c r="L247" s="1">
        <v>7.95</v>
      </c>
      <c r="M247">
        <v>1</v>
      </c>
    </row>
    <row r="248" spans="1:13" x14ac:dyDescent="0.2">
      <c r="A248" t="s">
        <v>453</v>
      </c>
      <c r="B248" t="s">
        <v>14</v>
      </c>
      <c r="C248">
        <v>9312231301179</v>
      </c>
      <c r="D248" t="s">
        <v>94</v>
      </c>
      <c r="E248">
        <v>3</v>
      </c>
      <c r="F248" s="1">
        <v>13.2</v>
      </c>
      <c r="G248">
        <v>0</v>
      </c>
      <c r="H248" s="1">
        <v>0</v>
      </c>
      <c r="I248" s="1">
        <v>0</v>
      </c>
      <c r="J248" s="1">
        <v>13.2</v>
      </c>
      <c r="K248" s="1">
        <v>0</v>
      </c>
      <c r="L248" s="1">
        <v>13.2</v>
      </c>
      <c r="M248">
        <v>3</v>
      </c>
    </row>
    <row r="249" spans="1:13" x14ac:dyDescent="0.2">
      <c r="A249" t="s">
        <v>417</v>
      </c>
      <c r="B249" t="s">
        <v>14</v>
      </c>
      <c r="C249">
        <v>9312231301155</v>
      </c>
      <c r="D249" t="s">
        <v>94</v>
      </c>
      <c r="E249">
        <v>3</v>
      </c>
      <c r="F249" s="1">
        <v>12.6</v>
      </c>
      <c r="G249">
        <v>0</v>
      </c>
      <c r="H249" s="1">
        <v>0</v>
      </c>
      <c r="I249" s="1">
        <v>0</v>
      </c>
      <c r="J249" s="1">
        <v>12.6</v>
      </c>
      <c r="K249" s="1">
        <v>0</v>
      </c>
      <c r="L249" s="1">
        <v>12.6</v>
      </c>
      <c r="M249">
        <v>3</v>
      </c>
    </row>
    <row r="250" spans="1:13" x14ac:dyDescent="0.2">
      <c r="A250" t="s">
        <v>1005</v>
      </c>
      <c r="B250" t="s">
        <v>14</v>
      </c>
      <c r="C250">
        <v>9312336051962</v>
      </c>
      <c r="D250" t="s">
        <v>94</v>
      </c>
      <c r="E250">
        <v>3</v>
      </c>
      <c r="F250" s="1">
        <v>15.57</v>
      </c>
      <c r="G250">
        <v>0</v>
      </c>
      <c r="H250" s="1">
        <v>0</v>
      </c>
      <c r="I250" s="1">
        <v>-0.38</v>
      </c>
      <c r="J250" s="1">
        <v>15.19</v>
      </c>
      <c r="K250" s="1">
        <v>1.53</v>
      </c>
      <c r="L250" s="1">
        <v>16.72</v>
      </c>
      <c r="M250">
        <v>3</v>
      </c>
    </row>
    <row r="251" spans="1:13" x14ac:dyDescent="0.2">
      <c r="A251" t="s">
        <v>1006</v>
      </c>
      <c r="B251" t="s">
        <v>14</v>
      </c>
      <c r="C251">
        <v>9312336051986</v>
      </c>
      <c r="D251" t="s">
        <v>94</v>
      </c>
      <c r="E251">
        <v>5</v>
      </c>
      <c r="F251" s="1">
        <v>28.6</v>
      </c>
      <c r="G251">
        <v>0</v>
      </c>
      <c r="H251" s="1">
        <v>0</v>
      </c>
      <c r="I251" s="1">
        <v>0</v>
      </c>
      <c r="J251" s="1">
        <v>28.6</v>
      </c>
      <c r="K251" s="1">
        <v>2.9</v>
      </c>
      <c r="L251" s="1">
        <v>31.5</v>
      </c>
      <c r="M251">
        <v>5</v>
      </c>
    </row>
    <row r="252" spans="1:13" x14ac:dyDescent="0.2">
      <c r="A252" t="s">
        <v>1007</v>
      </c>
      <c r="B252" t="s">
        <v>14</v>
      </c>
      <c r="C252">
        <v>9312336052006</v>
      </c>
      <c r="D252" t="s">
        <v>94</v>
      </c>
      <c r="E252">
        <v>1</v>
      </c>
      <c r="F252" s="1">
        <v>5.18</v>
      </c>
      <c r="G252">
        <v>0</v>
      </c>
      <c r="H252" s="1">
        <v>0</v>
      </c>
      <c r="I252" s="1">
        <v>0</v>
      </c>
      <c r="J252" s="1">
        <v>5.18</v>
      </c>
      <c r="K252" s="1">
        <v>0.52</v>
      </c>
      <c r="L252" s="1">
        <v>5.7</v>
      </c>
      <c r="M252">
        <v>1</v>
      </c>
    </row>
    <row r="253" spans="1:13" x14ac:dyDescent="0.2">
      <c r="A253" t="s">
        <v>1008</v>
      </c>
      <c r="B253" t="s">
        <v>14</v>
      </c>
      <c r="C253">
        <v>9332172000856</v>
      </c>
      <c r="D253" t="s">
        <v>95</v>
      </c>
      <c r="E253">
        <v>3</v>
      </c>
      <c r="F253" s="1">
        <v>45</v>
      </c>
      <c r="G253">
        <v>0</v>
      </c>
      <c r="H253" s="1">
        <v>0</v>
      </c>
      <c r="I253" s="1">
        <v>-3</v>
      </c>
      <c r="J253" s="1">
        <v>42</v>
      </c>
      <c r="K253" s="1">
        <v>0</v>
      </c>
      <c r="L253" s="1">
        <v>42</v>
      </c>
      <c r="M253">
        <v>3</v>
      </c>
    </row>
    <row r="254" spans="1:13" x14ac:dyDescent="0.2">
      <c r="A254" t="s">
        <v>628</v>
      </c>
      <c r="B254" t="s">
        <v>14</v>
      </c>
      <c r="C254">
        <v>9332172010190</v>
      </c>
      <c r="D254" t="s">
        <v>95</v>
      </c>
      <c r="E254">
        <v>1</v>
      </c>
      <c r="F254" s="1">
        <v>15</v>
      </c>
      <c r="G254">
        <v>0</v>
      </c>
      <c r="H254" s="1">
        <v>0</v>
      </c>
      <c r="I254" s="1">
        <v>-0.95</v>
      </c>
      <c r="J254" s="1">
        <v>14.05</v>
      </c>
      <c r="K254" s="1">
        <v>0</v>
      </c>
      <c r="L254" s="1">
        <v>14.05</v>
      </c>
      <c r="M254">
        <v>1</v>
      </c>
    </row>
    <row r="255" spans="1:13" x14ac:dyDescent="0.2">
      <c r="A255" t="s">
        <v>629</v>
      </c>
      <c r="B255" t="s">
        <v>14</v>
      </c>
      <c r="C255">
        <v>9332172000511</v>
      </c>
      <c r="D255" t="s">
        <v>95</v>
      </c>
      <c r="E255">
        <v>4</v>
      </c>
      <c r="F255" s="1">
        <v>48.8</v>
      </c>
      <c r="G255">
        <v>0</v>
      </c>
      <c r="H255" s="1">
        <v>0</v>
      </c>
      <c r="I255" s="1">
        <v>-1.88</v>
      </c>
      <c r="J255" s="1">
        <v>46.92</v>
      </c>
      <c r="K255" s="1">
        <v>0</v>
      </c>
      <c r="L255" s="1">
        <v>46.92</v>
      </c>
      <c r="M255">
        <v>4</v>
      </c>
    </row>
    <row r="256" spans="1:13" x14ac:dyDescent="0.2">
      <c r="A256" t="s">
        <v>780</v>
      </c>
      <c r="B256" t="s">
        <v>14</v>
      </c>
      <c r="C256">
        <v>9339371000038</v>
      </c>
      <c r="D256" t="s">
        <v>95</v>
      </c>
      <c r="E256">
        <v>2</v>
      </c>
      <c r="F256" s="1">
        <v>22.9</v>
      </c>
      <c r="G256">
        <v>0</v>
      </c>
      <c r="H256" s="1">
        <v>0</v>
      </c>
      <c r="I256" s="1">
        <v>0</v>
      </c>
      <c r="J256" s="1">
        <v>22.9</v>
      </c>
      <c r="K256" s="1">
        <v>0</v>
      </c>
      <c r="L256" s="1">
        <v>22.9</v>
      </c>
      <c r="M256">
        <v>2</v>
      </c>
    </row>
    <row r="257" spans="1:13" x14ac:dyDescent="0.2">
      <c r="A257" t="s">
        <v>519</v>
      </c>
      <c r="B257" t="s">
        <v>14</v>
      </c>
      <c r="C257">
        <v>9339371002117</v>
      </c>
      <c r="D257" t="s">
        <v>95</v>
      </c>
      <c r="E257">
        <v>2</v>
      </c>
      <c r="F257" s="1">
        <v>24.4</v>
      </c>
      <c r="G257">
        <v>0</v>
      </c>
      <c r="H257" s="1">
        <v>0</v>
      </c>
      <c r="I257" s="1">
        <v>0</v>
      </c>
      <c r="J257" s="1">
        <v>24.4</v>
      </c>
      <c r="K257" s="1">
        <v>0</v>
      </c>
      <c r="L257" s="1">
        <v>24.4</v>
      </c>
      <c r="M257">
        <v>2</v>
      </c>
    </row>
    <row r="258" spans="1:13" x14ac:dyDescent="0.2">
      <c r="A258" t="s">
        <v>630</v>
      </c>
      <c r="B258" t="s">
        <v>14</v>
      </c>
      <c r="C258">
        <v>9347920000019</v>
      </c>
      <c r="D258" t="s">
        <v>95</v>
      </c>
      <c r="E258">
        <v>10</v>
      </c>
      <c r="F258" s="1">
        <v>81</v>
      </c>
      <c r="G258">
        <v>0</v>
      </c>
      <c r="H258" s="1">
        <v>0</v>
      </c>
      <c r="I258" s="1">
        <v>-81</v>
      </c>
      <c r="J258" s="1">
        <v>0</v>
      </c>
      <c r="K258" s="1">
        <v>0</v>
      </c>
      <c r="L258" s="1">
        <v>0</v>
      </c>
      <c r="M258">
        <v>10</v>
      </c>
    </row>
    <row r="259" spans="1:13" x14ac:dyDescent="0.2">
      <c r="A259" t="s">
        <v>631</v>
      </c>
      <c r="B259" t="s">
        <v>14</v>
      </c>
      <c r="C259">
        <v>9347920000033</v>
      </c>
      <c r="D259" t="s">
        <v>95</v>
      </c>
      <c r="E259">
        <v>3</v>
      </c>
      <c r="F259" s="1">
        <v>24.3</v>
      </c>
      <c r="G259">
        <v>0</v>
      </c>
      <c r="H259" s="1">
        <v>0</v>
      </c>
      <c r="I259" s="1">
        <v>-16.2</v>
      </c>
      <c r="J259" s="1">
        <v>8.1</v>
      </c>
      <c r="K259" s="1">
        <v>0</v>
      </c>
      <c r="L259" s="1">
        <v>8.1</v>
      </c>
      <c r="M259">
        <v>3</v>
      </c>
    </row>
    <row r="260" spans="1:13" x14ac:dyDescent="0.2">
      <c r="A260" t="s">
        <v>632</v>
      </c>
      <c r="B260" t="s">
        <v>14</v>
      </c>
      <c r="C260">
        <v>8011661001598</v>
      </c>
      <c r="D260" t="s">
        <v>95</v>
      </c>
      <c r="E260">
        <v>1</v>
      </c>
      <c r="F260" s="1">
        <v>14.95</v>
      </c>
      <c r="G260">
        <v>0</v>
      </c>
      <c r="H260" s="1">
        <v>0</v>
      </c>
      <c r="I260" s="1">
        <v>0</v>
      </c>
      <c r="J260" s="1">
        <v>14.95</v>
      </c>
      <c r="K260" s="1">
        <v>0</v>
      </c>
      <c r="L260" s="1">
        <v>14.95</v>
      </c>
      <c r="M260">
        <v>1</v>
      </c>
    </row>
    <row r="261" spans="1:13" x14ac:dyDescent="0.2">
      <c r="A261" t="s">
        <v>520</v>
      </c>
      <c r="B261" t="s">
        <v>14</v>
      </c>
      <c r="C261">
        <v>9353462000004</v>
      </c>
      <c r="D261" t="s">
        <v>95</v>
      </c>
      <c r="E261">
        <v>1</v>
      </c>
      <c r="F261" s="1">
        <v>11.4</v>
      </c>
      <c r="G261">
        <v>0</v>
      </c>
      <c r="H261" s="1">
        <v>0</v>
      </c>
      <c r="I261" s="1">
        <v>0</v>
      </c>
      <c r="J261" s="1">
        <v>11.4</v>
      </c>
      <c r="K261" s="1">
        <v>0</v>
      </c>
      <c r="L261" s="1">
        <v>11.4</v>
      </c>
      <c r="M261">
        <v>1</v>
      </c>
    </row>
    <row r="262" spans="1:13" x14ac:dyDescent="0.2">
      <c r="A262" t="s">
        <v>390</v>
      </c>
      <c r="B262" t="s">
        <v>14</v>
      </c>
      <c r="C262">
        <v>9317320101500</v>
      </c>
      <c r="D262" t="s">
        <v>95</v>
      </c>
      <c r="E262">
        <v>1</v>
      </c>
      <c r="F262" s="1">
        <v>9.9</v>
      </c>
      <c r="G262">
        <v>0</v>
      </c>
      <c r="H262" s="1">
        <v>0</v>
      </c>
      <c r="I262" s="1">
        <v>-0.99</v>
      </c>
      <c r="J262" s="1">
        <v>8.91</v>
      </c>
      <c r="K262" s="1">
        <v>0</v>
      </c>
      <c r="L262" s="1">
        <v>8.91</v>
      </c>
      <c r="M262">
        <v>1</v>
      </c>
    </row>
    <row r="263" spans="1:13" x14ac:dyDescent="0.2">
      <c r="A263" t="s">
        <v>521</v>
      </c>
      <c r="B263" t="s">
        <v>14</v>
      </c>
      <c r="C263">
        <v>9317320405004</v>
      </c>
      <c r="D263" t="s">
        <v>95</v>
      </c>
      <c r="E263">
        <v>2</v>
      </c>
      <c r="F263" s="1">
        <v>17.7</v>
      </c>
      <c r="G263">
        <v>0</v>
      </c>
      <c r="H263" s="1">
        <v>0</v>
      </c>
      <c r="I263" s="1">
        <v>0</v>
      </c>
      <c r="J263" s="1">
        <v>17.7</v>
      </c>
      <c r="K263" s="1">
        <v>0</v>
      </c>
      <c r="L263" s="1">
        <v>17.7</v>
      </c>
      <c r="M263">
        <v>2</v>
      </c>
    </row>
    <row r="264" spans="1:13" x14ac:dyDescent="0.2">
      <c r="A264" t="s">
        <v>1009</v>
      </c>
      <c r="B264" t="s">
        <v>14</v>
      </c>
      <c r="C264">
        <v>9317320100039</v>
      </c>
      <c r="D264" t="s">
        <v>95</v>
      </c>
      <c r="E264">
        <v>2</v>
      </c>
      <c r="F264" s="1">
        <v>30.7</v>
      </c>
      <c r="G264">
        <v>0</v>
      </c>
      <c r="H264" s="1">
        <v>0</v>
      </c>
      <c r="I264" s="1">
        <v>-3</v>
      </c>
      <c r="J264" s="1">
        <v>27.7</v>
      </c>
      <c r="K264" s="1">
        <v>0</v>
      </c>
      <c r="L264" s="1">
        <v>27.7</v>
      </c>
      <c r="M264">
        <v>2</v>
      </c>
    </row>
    <row r="265" spans="1:13" x14ac:dyDescent="0.2">
      <c r="A265" t="s">
        <v>522</v>
      </c>
      <c r="B265" t="s">
        <v>14</v>
      </c>
      <c r="C265">
        <v>9317320305007</v>
      </c>
      <c r="D265" t="s">
        <v>95</v>
      </c>
      <c r="E265">
        <v>2</v>
      </c>
      <c r="F265" s="1">
        <v>17.7</v>
      </c>
      <c r="G265">
        <v>0</v>
      </c>
      <c r="H265" s="1">
        <v>0</v>
      </c>
      <c r="I265" s="1">
        <v>0</v>
      </c>
      <c r="J265" s="1">
        <v>17.7</v>
      </c>
      <c r="K265" s="1">
        <v>0</v>
      </c>
      <c r="L265" s="1">
        <v>17.7</v>
      </c>
      <c r="M265">
        <v>2</v>
      </c>
    </row>
    <row r="266" spans="1:13" x14ac:dyDescent="0.2">
      <c r="A266" t="s">
        <v>1010</v>
      </c>
      <c r="B266" t="s">
        <v>14</v>
      </c>
      <c r="C266">
        <v>9317320203754</v>
      </c>
      <c r="D266" t="s">
        <v>95</v>
      </c>
      <c r="E266">
        <v>4</v>
      </c>
      <c r="F266" s="1">
        <v>35.4</v>
      </c>
      <c r="G266">
        <v>0</v>
      </c>
      <c r="H266" s="1">
        <v>0</v>
      </c>
      <c r="I266" s="1">
        <v>-4.28</v>
      </c>
      <c r="J266" s="1">
        <v>31.12</v>
      </c>
      <c r="K266" s="1">
        <v>0</v>
      </c>
      <c r="L266" s="1">
        <v>31.12</v>
      </c>
      <c r="M266">
        <v>4</v>
      </c>
    </row>
    <row r="267" spans="1:13" x14ac:dyDescent="0.2">
      <c r="A267" t="s">
        <v>1011</v>
      </c>
      <c r="B267" t="s">
        <v>14</v>
      </c>
      <c r="C267">
        <v>9328808002950</v>
      </c>
      <c r="D267" t="s">
        <v>95</v>
      </c>
      <c r="E267">
        <v>1</v>
      </c>
      <c r="F267" s="1">
        <v>18</v>
      </c>
      <c r="G267">
        <v>0</v>
      </c>
      <c r="H267" s="1">
        <v>0</v>
      </c>
      <c r="I267" s="1">
        <v>-1.8</v>
      </c>
      <c r="J267" s="1">
        <v>16.2</v>
      </c>
      <c r="K267" s="1">
        <v>0</v>
      </c>
      <c r="L267" s="1">
        <v>16.2</v>
      </c>
      <c r="M267">
        <v>1</v>
      </c>
    </row>
    <row r="268" spans="1:13" x14ac:dyDescent="0.2">
      <c r="A268" t="s">
        <v>633</v>
      </c>
      <c r="B268" t="s">
        <v>14</v>
      </c>
      <c r="C268">
        <v>9328808003544</v>
      </c>
      <c r="D268" t="s">
        <v>95</v>
      </c>
      <c r="E268">
        <v>4</v>
      </c>
      <c r="F268" s="1">
        <v>41.8</v>
      </c>
      <c r="G268">
        <v>0</v>
      </c>
      <c r="H268" s="1">
        <v>0</v>
      </c>
      <c r="I268" s="1">
        <v>-1.66</v>
      </c>
      <c r="J268" s="1">
        <v>40.14</v>
      </c>
      <c r="K268" s="1">
        <v>0</v>
      </c>
      <c r="L268" s="1">
        <v>40.14</v>
      </c>
      <c r="M268">
        <v>4</v>
      </c>
    </row>
    <row r="269" spans="1:13" x14ac:dyDescent="0.2">
      <c r="A269" t="s">
        <v>523</v>
      </c>
      <c r="B269" t="s">
        <v>14</v>
      </c>
      <c r="C269" t="s">
        <v>385</v>
      </c>
      <c r="D269" t="s">
        <v>95</v>
      </c>
      <c r="E269">
        <v>8</v>
      </c>
      <c r="F269" s="1">
        <v>119.6</v>
      </c>
      <c r="G269">
        <v>0</v>
      </c>
      <c r="H269" s="1">
        <v>0</v>
      </c>
      <c r="I269" s="1">
        <v>-0.38</v>
      </c>
      <c r="J269" s="1">
        <v>119.22</v>
      </c>
      <c r="K269" s="1">
        <v>0</v>
      </c>
      <c r="L269" s="1">
        <v>119.22</v>
      </c>
      <c r="M269">
        <v>8</v>
      </c>
    </row>
    <row r="270" spans="1:13" x14ac:dyDescent="0.2">
      <c r="A270" t="s">
        <v>1012</v>
      </c>
      <c r="B270" t="s">
        <v>14</v>
      </c>
      <c r="C270">
        <v>9328808003773</v>
      </c>
      <c r="D270" t="s">
        <v>95</v>
      </c>
      <c r="E270">
        <v>2</v>
      </c>
      <c r="F270" s="1">
        <v>20.9</v>
      </c>
      <c r="G270">
        <v>0</v>
      </c>
      <c r="H270" s="1">
        <v>0</v>
      </c>
      <c r="I270" s="1">
        <v>-1.48</v>
      </c>
      <c r="J270" s="1">
        <v>19.420000000000002</v>
      </c>
      <c r="K270" s="1">
        <v>0</v>
      </c>
      <c r="L270" s="1">
        <v>19.420000000000002</v>
      </c>
      <c r="M270">
        <v>2</v>
      </c>
    </row>
    <row r="271" spans="1:13" x14ac:dyDescent="0.2">
      <c r="A271" t="s">
        <v>634</v>
      </c>
      <c r="B271" t="s">
        <v>14</v>
      </c>
      <c r="C271">
        <v>9328808000093</v>
      </c>
      <c r="D271" t="s">
        <v>95</v>
      </c>
      <c r="E271">
        <v>2</v>
      </c>
      <c r="F271" s="1">
        <v>29.9</v>
      </c>
      <c r="G271">
        <v>0</v>
      </c>
      <c r="H271" s="1">
        <v>0</v>
      </c>
      <c r="I271" s="1">
        <v>0</v>
      </c>
      <c r="J271" s="1">
        <v>29.9</v>
      </c>
      <c r="K271" s="1">
        <v>0</v>
      </c>
      <c r="L271" s="1">
        <v>29.9</v>
      </c>
      <c r="M271">
        <v>2</v>
      </c>
    </row>
    <row r="272" spans="1:13" x14ac:dyDescent="0.2">
      <c r="A272" t="s">
        <v>96</v>
      </c>
      <c r="B272" t="s">
        <v>14</v>
      </c>
      <c r="C272">
        <v>9328808001007</v>
      </c>
      <c r="D272" t="s">
        <v>95</v>
      </c>
      <c r="E272">
        <v>7</v>
      </c>
      <c r="F272" s="1">
        <v>96.25</v>
      </c>
      <c r="G272">
        <v>0</v>
      </c>
      <c r="H272" s="1">
        <v>0</v>
      </c>
      <c r="I272" s="1">
        <v>-1.37</v>
      </c>
      <c r="J272" s="1">
        <v>94.88</v>
      </c>
      <c r="K272" s="1">
        <v>0</v>
      </c>
      <c r="L272" s="1">
        <v>94.88</v>
      </c>
      <c r="M272">
        <v>7</v>
      </c>
    </row>
    <row r="273" spans="1:13" x14ac:dyDescent="0.2">
      <c r="A273" t="s">
        <v>781</v>
      </c>
      <c r="B273" t="s">
        <v>14</v>
      </c>
      <c r="C273">
        <v>9328808003711</v>
      </c>
      <c r="D273" t="s">
        <v>95</v>
      </c>
      <c r="E273">
        <v>2</v>
      </c>
      <c r="F273" s="1">
        <v>20.9</v>
      </c>
      <c r="G273">
        <v>0</v>
      </c>
      <c r="H273" s="1">
        <v>0</v>
      </c>
      <c r="I273" s="1">
        <v>-4.18</v>
      </c>
      <c r="J273" s="1">
        <v>16.72</v>
      </c>
      <c r="K273" s="1">
        <v>0</v>
      </c>
      <c r="L273" s="1">
        <v>16.72</v>
      </c>
      <c r="M273">
        <v>2</v>
      </c>
    </row>
    <row r="274" spans="1:13" x14ac:dyDescent="0.2">
      <c r="A274" t="s">
        <v>1013</v>
      </c>
      <c r="B274" t="s">
        <v>14</v>
      </c>
      <c r="C274">
        <v>9328808000055</v>
      </c>
      <c r="D274" t="s">
        <v>95</v>
      </c>
      <c r="E274">
        <v>2</v>
      </c>
      <c r="F274" s="1">
        <v>18.2</v>
      </c>
      <c r="G274">
        <v>0</v>
      </c>
      <c r="H274" s="1">
        <v>0</v>
      </c>
      <c r="I274" s="1">
        <v>0</v>
      </c>
      <c r="J274" s="1">
        <v>18.2</v>
      </c>
      <c r="K274" s="1">
        <v>0</v>
      </c>
      <c r="L274" s="1">
        <v>18.2</v>
      </c>
      <c r="M274">
        <v>2</v>
      </c>
    </row>
    <row r="275" spans="1:13" x14ac:dyDescent="0.2">
      <c r="A275" t="s">
        <v>782</v>
      </c>
      <c r="B275" t="s">
        <v>14</v>
      </c>
      <c r="C275">
        <v>9338415002090</v>
      </c>
      <c r="D275" t="s">
        <v>95</v>
      </c>
      <c r="E275">
        <v>4</v>
      </c>
      <c r="F275" s="1">
        <v>62.4</v>
      </c>
      <c r="G275">
        <v>0</v>
      </c>
      <c r="H275" s="1">
        <v>0</v>
      </c>
      <c r="I275" s="1">
        <v>-15.6</v>
      </c>
      <c r="J275" s="1">
        <v>46.8</v>
      </c>
      <c r="K275" s="1">
        <v>0</v>
      </c>
      <c r="L275" s="1">
        <v>46.8</v>
      </c>
      <c r="M275">
        <v>4</v>
      </c>
    </row>
    <row r="276" spans="1:13" x14ac:dyDescent="0.2">
      <c r="A276" t="s">
        <v>635</v>
      </c>
      <c r="B276" t="s">
        <v>14</v>
      </c>
      <c r="C276">
        <v>9338415002083</v>
      </c>
      <c r="D276" t="s">
        <v>95</v>
      </c>
      <c r="E276">
        <v>1</v>
      </c>
      <c r="F276" s="1">
        <v>13.35</v>
      </c>
      <c r="G276">
        <v>0</v>
      </c>
      <c r="H276" s="1">
        <v>0</v>
      </c>
      <c r="I276" s="1">
        <v>0</v>
      </c>
      <c r="J276" s="1">
        <v>13.35</v>
      </c>
      <c r="K276" s="1">
        <v>0</v>
      </c>
      <c r="L276" s="1">
        <v>13.35</v>
      </c>
      <c r="M276">
        <v>1</v>
      </c>
    </row>
    <row r="277" spans="1:13" x14ac:dyDescent="0.2">
      <c r="A277" t="s">
        <v>1014</v>
      </c>
      <c r="B277" t="s">
        <v>14</v>
      </c>
      <c r="C277" t="s">
        <v>1015</v>
      </c>
      <c r="D277" t="s">
        <v>95</v>
      </c>
      <c r="E277">
        <v>1</v>
      </c>
      <c r="F277" s="1">
        <v>8.4</v>
      </c>
      <c r="G277">
        <v>0</v>
      </c>
      <c r="H277" s="1">
        <v>0</v>
      </c>
      <c r="I277" s="1">
        <v>0</v>
      </c>
      <c r="J277" s="1">
        <v>8.4</v>
      </c>
      <c r="K277" s="1">
        <v>0</v>
      </c>
      <c r="L277" s="1">
        <v>8.4</v>
      </c>
      <c r="M277">
        <v>1</v>
      </c>
    </row>
    <row r="278" spans="1:13" x14ac:dyDescent="0.2">
      <c r="A278" t="s">
        <v>1016</v>
      </c>
      <c r="B278" t="s">
        <v>14</v>
      </c>
      <c r="C278">
        <v>9345126000123</v>
      </c>
      <c r="D278" t="s">
        <v>95</v>
      </c>
      <c r="E278">
        <v>1</v>
      </c>
      <c r="F278" s="1">
        <v>23.35</v>
      </c>
      <c r="G278">
        <v>0</v>
      </c>
      <c r="H278" s="1">
        <v>0</v>
      </c>
      <c r="I278" s="1">
        <v>-23.35</v>
      </c>
      <c r="J278" s="1">
        <v>0</v>
      </c>
      <c r="K278" s="1">
        <v>0</v>
      </c>
      <c r="L278" s="1">
        <v>0</v>
      </c>
      <c r="M278">
        <v>1</v>
      </c>
    </row>
    <row r="279" spans="1:13" x14ac:dyDescent="0.2">
      <c r="A279" t="s">
        <v>783</v>
      </c>
      <c r="B279" t="s">
        <v>14</v>
      </c>
      <c r="C279">
        <v>80687032501</v>
      </c>
      <c r="D279" t="s">
        <v>95</v>
      </c>
      <c r="E279">
        <v>1</v>
      </c>
      <c r="F279" s="1">
        <v>24</v>
      </c>
      <c r="G279">
        <v>0</v>
      </c>
      <c r="H279" s="1">
        <v>0</v>
      </c>
      <c r="I279" s="1">
        <v>-0.57999999999999996</v>
      </c>
      <c r="J279" s="1">
        <v>23.42</v>
      </c>
      <c r="K279" s="1">
        <v>0</v>
      </c>
      <c r="L279" s="1">
        <v>23.42</v>
      </c>
      <c r="M279">
        <v>1</v>
      </c>
    </row>
    <row r="280" spans="1:13" x14ac:dyDescent="0.2">
      <c r="A280" t="s">
        <v>1017</v>
      </c>
      <c r="B280" t="s">
        <v>14</v>
      </c>
      <c r="C280">
        <v>80687033867</v>
      </c>
      <c r="D280" t="s">
        <v>95</v>
      </c>
      <c r="E280">
        <v>1</v>
      </c>
      <c r="F280" s="1">
        <v>46.7</v>
      </c>
      <c r="G280">
        <v>0</v>
      </c>
      <c r="H280" s="1">
        <v>0</v>
      </c>
      <c r="I280" s="1">
        <v>0</v>
      </c>
      <c r="J280" s="1">
        <v>46.7</v>
      </c>
      <c r="K280" s="1">
        <v>0</v>
      </c>
      <c r="L280" s="1">
        <v>46.7</v>
      </c>
      <c r="M280">
        <v>1</v>
      </c>
    </row>
    <row r="281" spans="1:13" x14ac:dyDescent="0.2">
      <c r="A281" t="s">
        <v>454</v>
      </c>
      <c r="B281" t="s">
        <v>14</v>
      </c>
      <c r="C281">
        <v>9339066000169</v>
      </c>
      <c r="D281" t="s">
        <v>95</v>
      </c>
      <c r="E281">
        <v>6</v>
      </c>
      <c r="F281" s="1">
        <v>31.8</v>
      </c>
      <c r="G281">
        <v>0</v>
      </c>
      <c r="H281" s="1">
        <v>0</v>
      </c>
      <c r="I281" s="1">
        <v>-2.79</v>
      </c>
      <c r="J281" s="1">
        <v>29.01</v>
      </c>
      <c r="K281" s="1">
        <v>0</v>
      </c>
      <c r="L281" s="1">
        <v>29.01</v>
      </c>
      <c r="M281">
        <v>6</v>
      </c>
    </row>
    <row r="282" spans="1:13" x14ac:dyDescent="0.2">
      <c r="A282" t="s">
        <v>455</v>
      </c>
      <c r="B282" t="s">
        <v>14</v>
      </c>
      <c r="C282">
        <v>9339066000077</v>
      </c>
      <c r="D282" t="s">
        <v>95</v>
      </c>
      <c r="E282">
        <v>5</v>
      </c>
      <c r="F282" s="1">
        <v>47.75</v>
      </c>
      <c r="G282">
        <v>0</v>
      </c>
      <c r="H282" s="1">
        <v>0</v>
      </c>
      <c r="I282" s="1">
        <v>0</v>
      </c>
      <c r="J282" s="1">
        <v>47.75</v>
      </c>
      <c r="K282" s="1">
        <v>0</v>
      </c>
      <c r="L282" s="1">
        <v>47.75</v>
      </c>
      <c r="M282">
        <v>5</v>
      </c>
    </row>
    <row r="283" spans="1:13" x14ac:dyDescent="0.2">
      <c r="A283" t="s">
        <v>784</v>
      </c>
      <c r="B283" t="s">
        <v>14</v>
      </c>
      <c r="C283">
        <v>9339066000305</v>
      </c>
      <c r="D283" t="s">
        <v>95</v>
      </c>
      <c r="E283">
        <v>3</v>
      </c>
      <c r="F283" s="1">
        <v>25.2</v>
      </c>
      <c r="G283">
        <v>0</v>
      </c>
      <c r="H283" s="1">
        <v>0</v>
      </c>
      <c r="I283" s="1">
        <v>-4.2300000000000004</v>
      </c>
      <c r="J283" s="1">
        <v>20.97</v>
      </c>
      <c r="K283" s="1">
        <v>0</v>
      </c>
      <c r="L283" s="1">
        <v>20.97</v>
      </c>
      <c r="M283">
        <v>3</v>
      </c>
    </row>
    <row r="284" spans="1:13" x14ac:dyDescent="0.2">
      <c r="A284" t="s">
        <v>1018</v>
      </c>
      <c r="B284" t="s">
        <v>14</v>
      </c>
      <c r="C284">
        <v>9339066000008</v>
      </c>
      <c r="D284" t="s">
        <v>95</v>
      </c>
      <c r="E284">
        <v>1</v>
      </c>
      <c r="F284" s="1">
        <v>8.4</v>
      </c>
      <c r="G284">
        <v>0</v>
      </c>
      <c r="H284" s="1">
        <v>0</v>
      </c>
      <c r="I284" s="1">
        <v>0</v>
      </c>
      <c r="J284" s="1">
        <v>8.4</v>
      </c>
      <c r="K284" s="1">
        <v>0</v>
      </c>
      <c r="L284" s="1">
        <v>8.4</v>
      </c>
      <c r="M284">
        <v>1</v>
      </c>
    </row>
    <row r="285" spans="1:13" x14ac:dyDescent="0.2">
      <c r="A285" t="s">
        <v>456</v>
      </c>
      <c r="B285" t="s">
        <v>14</v>
      </c>
      <c r="C285">
        <v>9339066000503</v>
      </c>
      <c r="D285" t="s">
        <v>95</v>
      </c>
      <c r="E285">
        <v>2</v>
      </c>
      <c r="F285" s="1">
        <v>17.899999999999999</v>
      </c>
      <c r="G285">
        <v>0</v>
      </c>
      <c r="H285" s="1">
        <v>0</v>
      </c>
      <c r="I285" s="1">
        <v>-5</v>
      </c>
      <c r="J285" s="1">
        <v>12.9</v>
      </c>
      <c r="K285" s="1">
        <v>0</v>
      </c>
      <c r="L285" s="1">
        <v>12.9</v>
      </c>
      <c r="M285">
        <v>2</v>
      </c>
    </row>
    <row r="286" spans="1:13" x14ac:dyDescent="0.2">
      <c r="A286" t="s">
        <v>1019</v>
      </c>
      <c r="B286" t="s">
        <v>14</v>
      </c>
      <c r="C286">
        <v>9369998002672</v>
      </c>
      <c r="D286" t="s">
        <v>95</v>
      </c>
      <c r="E286">
        <v>1</v>
      </c>
      <c r="F286" s="1">
        <v>14.45</v>
      </c>
      <c r="G286">
        <v>0</v>
      </c>
      <c r="H286" s="1">
        <v>0</v>
      </c>
      <c r="I286" s="1">
        <v>0</v>
      </c>
      <c r="J286" s="1">
        <v>14.45</v>
      </c>
      <c r="K286" s="1">
        <v>0</v>
      </c>
      <c r="L286" s="1">
        <v>14.45</v>
      </c>
      <c r="M286">
        <v>1</v>
      </c>
    </row>
    <row r="287" spans="1:13" x14ac:dyDescent="0.2">
      <c r="A287" t="s">
        <v>785</v>
      </c>
      <c r="B287" t="s">
        <v>14</v>
      </c>
      <c r="C287">
        <v>9353880000051</v>
      </c>
      <c r="D287" t="s">
        <v>95</v>
      </c>
      <c r="E287">
        <v>1</v>
      </c>
      <c r="F287" s="1">
        <v>14.45</v>
      </c>
      <c r="G287">
        <v>0</v>
      </c>
      <c r="H287" s="1">
        <v>0</v>
      </c>
      <c r="I287" s="1">
        <v>-1.45</v>
      </c>
      <c r="J287" s="1">
        <v>13</v>
      </c>
      <c r="K287" s="1">
        <v>0</v>
      </c>
      <c r="L287" s="1">
        <v>13</v>
      </c>
      <c r="M287">
        <v>1</v>
      </c>
    </row>
    <row r="288" spans="1:13" x14ac:dyDescent="0.2">
      <c r="A288" t="s">
        <v>457</v>
      </c>
      <c r="B288" t="s">
        <v>14</v>
      </c>
      <c r="C288">
        <v>9353880000020</v>
      </c>
      <c r="D288" t="s">
        <v>95</v>
      </c>
      <c r="E288">
        <v>1</v>
      </c>
      <c r="F288" s="1">
        <v>12.45</v>
      </c>
      <c r="G288">
        <v>0</v>
      </c>
      <c r="H288" s="1">
        <v>0</v>
      </c>
      <c r="I288" s="1">
        <v>0</v>
      </c>
      <c r="J288" s="1">
        <v>12.45</v>
      </c>
      <c r="K288" s="1">
        <v>0</v>
      </c>
      <c r="L288" s="1">
        <v>12.45</v>
      </c>
      <c r="M288">
        <v>1</v>
      </c>
    </row>
    <row r="289" spans="1:13" x14ac:dyDescent="0.2">
      <c r="A289" t="s">
        <v>1020</v>
      </c>
      <c r="B289" t="s">
        <v>14</v>
      </c>
      <c r="C289">
        <v>9369998211784</v>
      </c>
      <c r="D289" t="s">
        <v>95</v>
      </c>
      <c r="E289">
        <v>1</v>
      </c>
      <c r="F289" s="1">
        <v>13.55</v>
      </c>
      <c r="G289">
        <v>0</v>
      </c>
      <c r="H289" s="1">
        <v>0</v>
      </c>
      <c r="I289" s="1">
        <v>-3.3</v>
      </c>
      <c r="J289" s="1">
        <v>10.25</v>
      </c>
      <c r="K289" s="1">
        <v>0</v>
      </c>
      <c r="L289" s="1">
        <v>10.25</v>
      </c>
      <c r="M289">
        <v>1</v>
      </c>
    </row>
    <row r="290" spans="1:13" x14ac:dyDescent="0.2">
      <c r="A290" t="s">
        <v>524</v>
      </c>
      <c r="B290" t="s">
        <v>14</v>
      </c>
      <c r="C290">
        <v>9353880000006</v>
      </c>
      <c r="D290" t="s">
        <v>95</v>
      </c>
      <c r="E290">
        <v>1</v>
      </c>
      <c r="F290" s="1">
        <v>11.2</v>
      </c>
      <c r="G290">
        <v>0</v>
      </c>
      <c r="H290" s="1">
        <v>0</v>
      </c>
      <c r="I290" s="1">
        <v>0</v>
      </c>
      <c r="J290" s="1">
        <v>11.2</v>
      </c>
      <c r="K290" s="1">
        <v>0</v>
      </c>
      <c r="L290" s="1">
        <v>11.2</v>
      </c>
      <c r="M290">
        <v>1</v>
      </c>
    </row>
    <row r="291" spans="1:13" x14ac:dyDescent="0.2">
      <c r="A291" t="s">
        <v>1021</v>
      </c>
      <c r="B291" t="s">
        <v>14</v>
      </c>
      <c r="C291">
        <v>9369998007820</v>
      </c>
      <c r="D291" t="s">
        <v>95</v>
      </c>
      <c r="E291">
        <v>3</v>
      </c>
      <c r="F291" s="1">
        <v>47.7</v>
      </c>
      <c r="G291">
        <v>0</v>
      </c>
      <c r="H291" s="1">
        <v>0</v>
      </c>
      <c r="I291" s="1">
        <v>-2.81</v>
      </c>
      <c r="J291" s="1">
        <v>44.89</v>
      </c>
      <c r="K291" s="1">
        <v>0</v>
      </c>
      <c r="L291" s="1">
        <v>44.89</v>
      </c>
      <c r="M291">
        <v>3</v>
      </c>
    </row>
    <row r="292" spans="1:13" x14ac:dyDescent="0.2">
      <c r="A292" t="s">
        <v>1022</v>
      </c>
      <c r="B292" t="s">
        <v>14</v>
      </c>
      <c r="C292">
        <v>9347390000304</v>
      </c>
      <c r="D292" t="s">
        <v>95</v>
      </c>
      <c r="E292">
        <v>1</v>
      </c>
      <c r="F292" s="1">
        <v>12.55</v>
      </c>
      <c r="G292">
        <v>0</v>
      </c>
      <c r="H292" s="1">
        <v>0</v>
      </c>
      <c r="I292" s="1">
        <v>0</v>
      </c>
      <c r="J292" s="1">
        <v>12.55</v>
      </c>
      <c r="K292" s="1">
        <v>0</v>
      </c>
      <c r="L292" s="1">
        <v>12.55</v>
      </c>
      <c r="M292">
        <v>1</v>
      </c>
    </row>
    <row r="293" spans="1:13" x14ac:dyDescent="0.2">
      <c r="A293" t="s">
        <v>786</v>
      </c>
      <c r="B293" t="s">
        <v>14</v>
      </c>
      <c r="C293">
        <v>9339371001530</v>
      </c>
      <c r="D293" t="s">
        <v>95</v>
      </c>
      <c r="E293">
        <v>1</v>
      </c>
      <c r="F293" s="1">
        <v>16.2</v>
      </c>
      <c r="G293">
        <v>0</v>
      </c>
      <c r="H293" s="1">
        <v>0</v>
      </c>
      <c r="I293" s="1">
        <v>0</v>
      </c>
      <c r="J293" s="1">
        <v>16.2</v>
      </c>
      <c r="K293" s="1">
        <v>0</v>
      </c>
      <c r="L293" s="1">
        <v>16.2</v>
      </c>
      <c r="M293">
        <v>1</v>
      </c>
    </row>
    <row r="294" spans="1:13" x14ac:dyDescent="0.2">
      <c r="A294" t="s">
        <v>1023</v>
      </c>
      <c r="B294" t="s">
        <v>14</v>
      </c>
      <c r="C294">
        <v>9359392000077</v>
      </c>
      <c r="D294" t="s">
        <v>97</v>
      </c>
      <c r="E294">
        <v>1</v>
      </c>
      <c r="F294" s="1">
        <v>17</v>
      </c>
      <c r="G294">
        <v>0</v>
      </c>
      <c r="H294" s="1">
        <v>0</v>
      </c>
      <c r="I294" s="1">
        <v>0</v>
      </c>
      <c r="J294" s="1">
        <v>17</v>
      </c>
      <c r="K294" s="1">
        <v>0</v>
      </c>
      <c r="L294" s="1">
        <v>17</v>
      </c>
      <c r="M294">
        <v>1</v>
      </c>
    </row>
    <row r="295" spans="1:13" x14ac:dyDescent="0.2">
      <c r="A295" t="s">
        <v>1024</v>
      </c>
      <c r="B295" t="s">
        <v>14</v>
      </c>
      <c r="C295">
        <v>9346940003871</v>
      </c>
      <c r="D295" t="s">
        <v>97</v>
      </c>
      <c r="E295">
        <v>2</v>
      </c>
      <c r="F295" s="1">
        <v>51</v>
      </c>
      <c r="G295">
        <v>0</v>
      </c>
      <c r="H295" s="1">
        <v>0</v>
      </c>
      <c r="I295" s="1">
        <v>0</v>
      </c>
      <c r="J295" s="1">
        <v>51</v>
      </c>
      <c r="K295" s="1">
        <v>0</v>
      </c>
      <c r="L295" s="1">
        <v>51</v>
      </c>
      <c r="M295">
        <v>2</v>
      </c>
    </row>
    <row r="296" spans="1:13" x14ac:dyDescent="0.2">
      <c r="A296" t="s">
        <v>787</v>
      </c>
      <c r="B296" t="s">
        <v>14</v>
      </c>
      <c r="C296">
        <v>9351918010140</v>
      </c>
      <c r="D296" t="s">
        <v>97</v>
      </c>
      <c r="E296">
        <v>4</v>
      </c>
      <c r="F296" s="1">
        <v>50.2</v>
      </c>
      <c r="G296">
        <v>0</v>
      </c>
      <c r="H296" s="1">
        <v>0</v>
      </c>
      <c r="I296" s="1">
        <v>-1.26</v>
      </c>
      <c r="J296" s="1">
        <v>48.94</v>
      </c>
      <c r="K296" s="1">
        <v>0</v>
      </c>
      <c r="L296" s="1">
        <v>48.94</v>
      </c>
      <c r="M296">
        <v>4</v>
      </c>
    </row>
    <row r="297" spans="1:13" x14ac:dyDescent="0.2">
      <c r="A297" t="s">
        <v>307</v>
      </c>
      <c r="B297" t="s">
        <v>14</v>
      </c>
      <c r="C297">
        <v>9351918010157</v>
      </c>
      <c r="D297" t="s">
        <v>97</v>
      </c>
      <c r="E297">
        <v>1</v>
      </c>
      <c r="F297" s="1">
        <v>12.55</v>
      </c>
      <c r="G297">
        <v>0</v>
      </c>
      <c r="H297" s="1">
        <v>0</v>
      </c>
      <c r="I297" s="1">
        <v>0</v>
      </c>
      <c r="J297" s="1">
        <v>12.55</v>
      </c>
      <c r="K297" s="1">
        <v>0</v>
      </c>
      <c r="L297" s="1">
        <v>12.55</v>
      </c>
      <c r="M297">
        <v>1</v>
      </c>
    </row>
    <row r="298" spans="1:13" x14ac:dyDescent="0.2">
      <c r="A298" t="s">
        <v>788</v>
      </c>
      <c r="B298" t="s">
        <v>14</v>
      </c>
      <c r="C298">
        <v>9351918010171</v>
      </c>
      <c r="D298" t="s">
        <v>97</v>
      </c>
      <c r="E298">
        <v>5</v>
      </c>
      <c r="F298" s="1">
        <v>79.25</v>
      </c>
      <c r="G298">
        <v>0</v>
      </c>
      <c r="H298" s="1">
        <v>0</v>
      </c>
      <c r="I298" s="1">
        <v>0</v>
      </c>
      <c r="J298" s="1">
        <v>79.25</v>
      </c>
      <c r="K298" s="1">
        <v>0</v>
      </c>
      <c r="L298" s="1">
        <v>79.25</v>
      </c>
      <c r="M298">
        <v>5</v>
      </c>
    </row>
    <row r="299" spans="1:13" x14ac:dyDescent="0.2">
      <c r="A299" t="s">
        <v>284</v>
      </c>
      <c r="B299" t="s">
        <v>14</v>
      </c>
      <c r="C299">
        <v>9351918010164</v>
      </c>
      <c r="D299" t="s">
        <v>97</v>
      </c>
      <c r="E299">
        <v>1</v>
      </c>
      <c r="F299" s="1">
        <v>12.55</v>
      </c>
      <c r="G299">
        <v>0</v>
      </c>
      <c r="H299" s="1">
        <v>0</v>
      </c>
      <c r="I299" s="1">
        <v>0</v>
      </c>
      <c r="J299" s="1">
        <v>12.55</v>
      </c>
      <c r="K299" s="1">
        <v>0</v>
      </c>
      <c r="L299" s="1">
        <v>12.55</v>
      </c>
      <c r="M299">
        <v>1</v>
      </c>
    </row>
    <row r="300" spans="1:13" x14ac:dyDescent="0.2">
      <c r="A300" t="s">
        <v>458</v>
      </c>
      <c r="B300" t="s">
        <v>14</v>
      </c>
      <c r="C300">
        <v>9309002235009</v>
      </c>
      <c r="D300" t="s">
        <v>97</v>
      </c>
      <c r="E300">
        <v>8</v>
      </c>
      <c r="F300" s="1">
        <v>85.6</v>
      </c>
      <c r="G300">
        <v>0</v>
      </c>
      <c r="H300" s="1">
        <v>0</v>
      </c>
      <c r="I300" s="1">
        <v>-2.17</v>
      </c>
      <c r="J300" s="1">
        <v>83.43</v>
      </c>
      <c r="K300" s="1">
        <v>0</v>
      </c>
      <c r="L300" s="1">
        <v>83.43</v>
      </c>
      <c r="M300">
        <v>8</v>
      </c>
    </row>
    <row r="301" spans="1:13" x14ac:dyDescent="0.2">
      <c r="A301" t="s">
        <v>459</v>
      </c>
      <c r="B301" t="s">
        <v>14</v>
      </c>
      <c r="C301">
        <v>9309002235023</v>
      </c>
      <c r="D301" t="s">
        <v>97</v>
      </c>
      <c r="E301">
        <v>2</v>
      </c>
      <c r="F301" s="1">
        <v>29.7</v>
      </c>
      <c r="G301">
        <v>0</v>
      </c>
      <c r="H301" s="1">
        <v>0</v>
      </c>
      <c r="I301" s="1">
        <v>-2.06</v>
      </c>
      <c r="J301" s="1">
        <v>27.64</v>
      </c>
      <c r="K301" s="1">
        <v>0</v>
      </c>
      <c r="L301" s="1">
        <v>27.64</v>
      </c>
      <c r="M301">
        <v>2</v>
      </c>
    </row>
    <row r="302" spans="1:13" x14ac:dyDescent="0.2">
      <c r="A302" t="s">
        <v>1025</v>
      </c>
      <c r="B302" t="s">
        <v>14</v>
      </c>
      <c r="C302">
        <v>9358563000007</v>
      </c>
      <c r="D302" t="s">
        <v>97</v>
      </c>
      <c r="E302">
        <v>1</v>
      </c>
      <c r="F302" s="1">
        <v>13.95</v>
      </c>
      <c r="G302">
        <v>0</v>
      </c>
      <c r="H302" s="1">
        <v>0</v>
      </c>
      <c r="I302" s="1">
        <v>-13.95</v>
      </c>
      <c r="J302" s="1">
        <v>0</v>
      </c>
      <c r="K302" s="1">
        <v>0</v>
      </c>
      <c r="L302" s="1">
        <v>0</v>
      </c>
      <c r="M302">
        <v>1</v>
      </c>
    </row>
    <row r="303" spans="1:13" x14ac:dyDescent="0.2">
      <c r="A303" t="s">
        <v>369</v>
      </c>
      <c r="B303" t="s">
        <v>14</v>
      </c>
      <c r="C303">
        <v>9358563000021</v>
      </c>
      <c r="D303" t="s">
        <v>97</v>
      </c>
      <c r="E303">
        <v>3</v>
      </c>
      <c r="F303" s="1">
        <v>51</v>
      </c>
      <c r="G303">
        <v>0</v>
      </c>
      <c r="H303" s="1">
        <v>0</v>
      </c>
      <c r="I303" s="1">
        <v>0</v>
      </c>
      <c r="J303" s="1">
        <v>51</v>
      </c>
      <c r="K303" s="1">
        <v>0</v>
      </c>
      <c r="L303" s="1">
        <v>51</v>
      </c>
      <c r="M303">
        <v>3</v>
      </c>
    </row>
    <row r="304" spans="1:13" x14ac:dyDescent="0.2">
      <c r="A304" t="s">
        <v>1026</v>
      </c>
      <c r="B304" t="s">
        <v>14</v>
      </c>
      <c r="C304">
        <v>9335079000011</v>
      </c>
      <c r="D304" t="s">
        <v>97</v>
      </c>
      <c r="E304">
        <v>2</v>
      </c>
      <c r="F304" s="1">
        <v>20.8</v>
      </c>
      <c r="G304">
        <v>0</v>
      </c>
      <c r="H304" s="1">
        <v>0</v>
      </c>
      <c r="I304" s="1">
        <v>0</v>
      </c>
      <c r="J304" s="1">
        <v>20.8</v>
      </c>
      <c r="K304" s="1">
        <v>0</v>
      </c>
      <c r="L304" s="1">
        <v>20.8</v>
      </c>
      <c r="M304">
        <v>2</v>
      </c>
    </row>
    <row r="305" spans="1:13" x14ac:dyDescent="0.2">
      <c r="A305" t="s">
        <v>308</v>
      </c>
      <c r="B305" t="s">
        <v>14</v>
      </c>
      <c r="C305">
        <v>9415466002184</v>
      </c>
      <c r="D305" t="s">
        <v>97</v>
      </c>
      <c r="E305">
        <v>3</v>
      </c>
      <c r="F305" s="1">
        <v>41.7</v>
      </c>
      <c r="G305">
        <v>0</v>
      </c>
      <c r="H305" s="1">
        <v>0</v>
      </c>
      <c r="I305" s="1">
        <v>-1.93</v>
      </c>
      <c r="J305" s="1">
        <v>39.770000000000003</v>
      </c>
      <c r="K305" s="1">
        <v>0</v>
      </c>
      <c r="L305" s="1">
        <v>39.770000000000003</v>
      </c>
      <c r="M305">
        <v>3</v>
      </c>
    </row>
    <row r="306" spans="1:13" x14ac:dyDescent="0.2">
      <c r="A306" t="s">
        <v>460</v>
      </c>
      <c r="B306" t="s">
        <v>14</v>
      </c>
      <c r="C306">
        <v>9314075001055</v>
      </c>
      <c r="D306" t="s">
        <v>97</v>
      </c>
      <c r="E306">
        <v>1</v>
      </c>
      <c r="F306" s="1">
        <v>4.8499999999999996</v>
      </c>
      <c r="G306">
        <v>0</v>
      </c>
      <c r="H306" s="1">
        <v>0</v>
      </c>
      <c r="I306" s="1">
        <v>0</v>
      </c>
      <c r="J306" s="1">
        <v>4.8499999999999996</v>
      </c>
      <c r="K306" s="1">
        <v>0</v>
      </c>
      <c r="L306" s="1">
        <v>4.8499999999999996</v>
      </c>
      <c r="M306">
        <v>1</v>
      </c>
    </row>
    <row r="307" spans="1:13" x14ac:dyDescent="0.2">
      <c r="A307" t="s">
        <v>461</v>
      </c>
      <c r="B307" t="s">
        <v>14</v>
      </c>
      <c r="C307">
        <v>9314075001062</v>
      </c>
      <c r="D307" t="s">
        <v>97</v>
      </c>
      <c r="E307">
        <v>3</v>
      </c>
      <c r="F307" s="1">
        <v>18.75</v>
      </c>
      <c r="G307">
        <v>0</v>
      </c>
      <c r="H307" s="1">
        <v>0</v>
      </c>
      <c r="I307" s="1">
        <v>0</v>
      </c>
      <c r="J307" s="1">
        <v>18.75</v>
      </c>
      <c r="K307" s="1">
        <v>0</v>
      </c>
      <c r="L307" s="1">
        <v>18.75</v>
      </c>
      <c r="M307">
        <v>3</v>
      </c>
    </row>
    <row r="308" spans="1:13" x14ac:dyDescent="0.2">
      <c r="A308" t="s">
        <v>1027</v>
      </c>
      <c r="B308" t="s">
        <v>14</v>
      </c>
      <c r="C308">
        <v>9314075001079</v>
      </c>
      <c r="D308" t="s">
        <v>97</v>
      </c>
      <c r="E308">
        <v>2</v>
      </c>
      <c r="F308" s="1">
        <v>24.9</v>
      </c>
      <c r="G308">
        <v>0</v>
      </c>
      <c r="H308" s="1">
        <v>0</v>
      </c>
      <c r="I308" s="1">
        <v>-14.08</v>
      </c>
      <c r="J308" s="1">
        <v>10.82</v>
      </c>
      <c r="K308" s="1">
        <v>0</v>
      </c>
      <c r="L308" s="1">
        <v>10.82</v>
      </c>
      <c r="M308">
        <v>2</v>
      </c>
    </row>
    <row r="309" spans="1:13" x14ac:dyDescent="0.2">
      <c r="A309" t="s">
        <v>636</v>
      </c>
      <c r="B309" t="s">
        <v>14</v>
      </c>
      <c r="C309">
        <v>9314075001741</v>
      </c>
      <c r="D309" t="s">
        <v>97</v>
      </c>
      <c r="E309">
        <v>1</v>
      </c>
      <c r="F309" s="1">
        <v>10.199999999999999</v>
      </c>
      <c r="G309">
        <v>0</v>
      </c>
      <c r="H309" s="1">
        <v>0</v>
      </c>
      <c r="I309" s="1">
        <v>0</v>
      </c>
      <c r="J309" s="1">
        <v>10.199999999999999</v>
      </c>
      <c r="K309" s="1">
        <v>0</v>
      </c>
      <c r="L309" s="1">
        <v>10.199999999999999</v>
      </c>
      <c r="M309">
        <v>1</v>
      </c>
    </row>
    <row r="310" spans="1:13" x14ac:dyDescent="0.2">
      <c r="A310" t="s">
        <v>789</v>
      </c>
      <c r="B310" t="s">
        <v>14</v>
      </c>
      <c r="C310">
        <v>9351474000142</v>
      </c>
      <c r="D310" t="s">
        <v>98</v>
      </c>
      <c r="E310">
        <v>3</v>
      </c>
      <c r="F310" s="1">
        <v>32.700000000000003</v>
      </c>
      <c r="G310">
        <v>0</v>
      </c>
      <c r="H310" s="1">
        <v>0</v>
      </c>
      <c r="I310" s="1">
        <v>0</v>
      </c>
      <c r="J310" s="1">
        <v>32.700000000000003</v>
      </c>
      <c r="K310" s="1">
        <v>0</v>
      </c>
      <c r="L310" s="1">
        <v>32.700000000000003</v>
      </c>
      <c r="M310">
        <v>3</v>
      </c>
    </row>
    <row r="311" spans="1:13" x14ac:dyDescent="0.2">
      <c r="A311" t="s">
        <v>294</v>
      </c>
      <c r="B311" t="s">
        <v>14</v>
      </c>
      <c r="C311">
        <v>9351474000500</v>
      </c>
      <c r="D311" t="s">
        <v>98</v>
      </c>
      <c r="E311">
        <v>1</v>
      </c>
      <c r="F311" s="1">
        <v>10.9</v>
      </c>
      <c r="G311">
        <v>0</v>
      </c>
      <c r="H311" s="1">
        <v>0</v>
      </c>
      <c r="I311" s="1">
        <v>0</v>
      </c>
      <c r="J311" s="1">
        <v>10.9</v>
      </c>
      <c r="K311" s="1">
        <v>0</v>
      </c>
      <c r="L311" s="1">
        <v>10.9</v>
      </c>
      <c r="M311">
        <v>1</v>
      </c>
    </row>
    <row r="312" spans="1:13" x14ac:dyDescent="0.2">
      <c r="A312" t="s">
        <v>1028</v>
      </c>
      <c r="B312" t="s">
        <v>14</v>
      </c>
      <c r="C312">
        <v>9351474001545</v>
      </c>
      <c r="D312" t="s">
        <v>98</v>
      </c>
      <c r="E312">
        <v>1</v>
      </c>
      <c r="F312" s="1">
        <v>10.9</v>
      </c>
      <c r="G312">
        <v>0</v>
      </c>
      <c r="H312" s="1">
        <v>0</v>
      </c>
      <c r="I312" s="1">
        <v>0</v>
      </c>
      <c r="J312" s="1">
        <v>10.9</v>
      </c>
      <c r="K312" s="1">
        <v>0</v>
      </c>
      <c r="L312" s="1">
        <v>10.9</v>
      </c>
      <c r="M312">
        <v>1</v>
      </c>
    </row>
    <row r="313" spans="1:13" x14ac:dyDescent="0.2">
      <c r="A313" t="s">
        <v>295</v>
      </c>
      <c r="B313" t="s">
        <v>14</v>
      </c>
      <c r="C313">
        <v>9351474001484</v>
      </c>
      <c r="D313" t="s">
        <v>98</v>
      </c>
      <c r="E313">
        <v>1</v>
      </c>
      <c r="F313" s="1">
        <v>9.35</v>
      </c>
      <c r="G313">
        <v>0</v>
      </c>
      <c r="H313" s="1">
        <v>0</v>
      </c>
      <c r="I313" s="1">
        <v>0</v>
      </c>
      <c r="J313" s="1">
        <v>9.35</v>
      </c>
      <c r="K313" s="1">
        <v>0</v>
      </c>
      <c r="L313" s="1">
        <v>9.35</v>
      </c>
      <c r="M313">
        <v>1</v>
      </c>
    </row>
    <row r="314" spans="1:13" x14ac:dyDescent="0.2">
      <c r="A314" t="s">
        <v>790</v>
      </c>
      <c r="B314" t="s">
        <v>14</v>
      </c>
      <c r="C314">
        <v>94922606341</v>
      </c>
      <c r="D314" t="s">
        <v>98</v>
      </c>
      <c r="E314">
        <v>1</v>
      </c>
      <c r="F314" s="1">
        <v>21.2</v>
      </c>
      <c r="G314">
        <v>0</v>
      </c>
      <c r="H314" s="1">
        <v>0</v>
      </c>
      <c r="I314" s="1">
        <v>0</v>
      </c>
      <c r="J314" s="1">
        <v>21.2</v>
      </c>
      <c r="K314" s="1">
        <v>0</v>
      </c>
      <c r="L314" s="1">
        <v>21.2</v>
      </c>
      <c r="M314">
        <v>1</v>
      </c>
    </row>
    <row r="315" spans="1:13" x14ac:dyDescent="0.2">
      <c r="A315" t="s">
        <v>1029</v>
      </c>
      <c r="B315" t="s">
        <v>14</v>
      </c>
      <c r="C315">
        <v>80687476626</v>
      </c>
      <c r="D315" t="s">
        <v>98</v>
      </c>
      <c r="E315">
        <v>2</v>
      </c>
      <c r="F315" s="1">
        <v>27.5</v>
      </c>
      <c r="G315">
        <v>0</v>
      </c>
      <c r="H315" s="1">
        <v>0</v>
      </c>
      <c r="I315" s="1">
        <v>0</v>
      </c>
      <c r="J315" s="1">
        <v>27.5</v>
      </c>
      <c r="K315" s="1">
        <v>0</v>
      </c>
      <c r="L315" s="1">
        <v>27.5</v>
      </c>
      <c r="M315">
        <v>2</v>
      </c>
    </row>
    <row r="316" spans="1:13" x14ac:dyDescent="0.2">
      <c r="A316" t="s">
        <v>1030</v>
      </c>
      <c r="B316" t="s">
        <v>14</v>
      </c>
      <c r="C316">
        <v>680569373328</v>
      </c>
      <c r="D316" t="s">
        <v>98</v>
      </c>
      <c r="E316">
        <v>1</v>
      </c>
      <c r="F316" s="1">
        <v>14.8</v>
      </c>
      <c r="G316">
        <v>0</v>
      </c>
      <c r="H316" s="1">
        <v>0</v>
      </c>
      <c r="I316" s="1">
        <v>-3.22</v>
      </c>
      <c r="J316" s="1">
        <v>11.58</v>
      </c>
      <c r="K316" s="1">
        <v>0</v>
      </c>
      <c r="L316" s="1">
        <v>11.58</v>
      </c>
      <c r="M316">
        <v>1</v>
      </c>
    </row>
    <row r="317" spans="1:13" x14ac:dyDescent="0.2">
      <c r="A317" t="s">
        <v>637</v>
      </c>
      <c r="B317" t="s">
        <v>14</v>
      </c>
      <c r="C317">
        <v>9342824000219</v>
      </c>
      <c r="D317" t="s">
        <v>98</v>
      </c>
      <c r="E317">
        <v>1</v>
      </c>
      <c r="F317" s="1">
        <v>22.87</v>
      </c>
      <c r="G317">
        <v>0</v>
      </c>
      <c r="H317" s="1">
        <v>0</v>
      </c>
      <c r="I317" s="1">
        <v>0</v>
      </c>
      <c r="J317" s="1">
        <v>22.87</v>
      </c>
      <c r="K317" s="1">
        <v>2.2799999999999998</v>
      </c>
      <c r="L317" s="1">
        <v>25.15</v>
      </c>
      <c r="M317">
        <v>1</v>
      </c>
    </row>
    <row r="318" spans="1:13" x14ac:dyDescent="0.2">
      <c r="A318" t="s">
        <v>791</v>
      </c>
      <c r="B318" t="s">
        <v>14</v>
      </c>
      <c r="C318">
        <v>9342824000080</v>
      </c>
      <c r="D318" t="s">
        <v>98</v>
      </c>
      <c r="E318">
        <v>1</v>
      </c>
      <c r="F318" s="1">
        <v>27.95</v>
      </c>
      <c r="G318">
        <v>0</v>
      </c>
      <c r="H318" s="1">
        <v>0</v>
      </c>
      <c r="I318" s="1">
        <v>-2.0499999999999998</v>
      </c>
      <c r="J318" s="1">
        <v>25.9</v>
      </c>
      <c r="K318" s="1">
        <v>0</v>
      </c>
      <c r="L318" s="1">
        <v>25.9</v>
      </c>
      <c r="M318">
        <v>1</v>
      </c>
    </row>
    <row r="319" spans="1:13" x14ac:dyDescent="0.2">
      <c r="A319" t="s">
        <v>1031</v>
      </c>
      <c r="B319" t="s">
        <v>14</v>
      </c>
      <c r="C319">
        <v>9342824000097</v>
      </c>
      <c r="D319" t="s">
        <v>98</v>
      </c>
      <c r="E319">
        <v>1</v>
      </c>
      <c r="F319" s="1">
        <v>52.5</v>
      </c>
      <c r="G319">
        <v>0</v>
      </c>
      <c r="H319" s="1">
        <v>0</v>
      </c>
      <c r="I319" s="1">
        <v>0</v>
      </c>
      <c r="J319" s="1">
        <v>52.5</v>
      </c>
      <c r="K319" s="1">
        <v>0</v>
      </c>
      <c r="L319" s="1">
        <v>52.5</v>
      </c>
      <c r="M319">
        <v>1</v>
      </c>
    </row>
    <row r="320" spans="1:13" x14ac:dyDescent="0.2">
      <c r="A320" t="s">
        <v>525</v>
      </c>
      <c r="B320" t="s">
        <v>14</v>
      </c>
      <c r="C320">
        <v>9347881000011</v>
      </c>
      <c r="D320" t="s">
        <v>98</v>
      </c>
      <c r="E320">
        <v>2</v>
      </c>
      <c r="F320" s="1">
        <v>6.14</v>
      </c>
      <c r="G320">
        <v>0</v>
      </c>
      <c r="H320" s="1">
        <v>0</v>
      </c>
      <c r="I320" s="1">
        <v>-0.67</v>
      </c>
      <c r="J320" s="1">
        <v>5.47</v>
      </c>
      <c r="K320" s="1">
        <v>0.56000000000000005</v>
      </c>
      <c r="L320" s="1">
        <v>6.03</v>
      </c>
      <c r="M320">
        <v>2</v>
      </c>
    </row>
    <row r="321" spans="1:13" x14ac:dyDescent="0.2">
      <c r="A321" t="s">
        <v>792</v>
      </c>
      <c r="B321" t="s">
        <v>14</v>
      </c>
      <c r="C321">
        <v>9330360000039</v>
      </c>
      <c r="D321" t="s">
        <v>98</v>
      </c>
      <c r="E321">
        <v>1</v>
      </c>
      <c r="F321" s="1">
        <v>4.8</v>
      </c>
      <c r="G321">
        <v>0</v>
      </c>
      <c r="H321" s="1">
        <v>0</v>
      </c>
      <c r="I321" s="1">
        <v>0</v>
      </c>
      <c r="J321" s="1">
        <v>4.8</v>
      </c>
      <c r="K321" s="1">
        <v>0</v>
      </c>
      <c r="L321" s="1">
        <v>4.8</v>
      </c>
      <c r="M321">
        <v>1</v>
      </c>
    </row>
    <row r="322" spans="1:13" x14ac:dyDescent="0.2">
      <c r="A322" t="s">
        <v>638</v>
      </c>
      <c r="B322" t="s">
        <v>14</v>
      </c>
      <c r="C322">
        <v>9339944004203</v>
      </c>
      <c r="D322" t="s">
        <v>98</v>
      </c>
      <c r="E322">
        <v>1</v>
      </c>
      <c r="F322" s="1">
        <v>12.75</v>
      </c>
      <c r="G322">
        <v>0</v>
      </c>
      <c r="H322" s="1">
        <v>0</v>
      </c>
      <c r="I322" s="1">
        <v>0</v>
      </c>
      <c r="J322" s="1">
        <v>12.75</v>
      </c>
      <c r="K322" s="1">
        <v>0</v>
      </c>
      <c r="L322" s="1">
        <v>12.75</v>
      </c>
      <c r="M322">
        <v>1</v>
      </c>
    </row>
    <row r="323" spans="1:13" x14ac:dyDescent="0.2">
      <c r="A323" t="s">
        <v>793</v>
      </c>
      <c r="B323" t="s">
        <v>14</v>
      </c>
      <c r="C323">
        <v>9339944001271</v>
      </c>
      <c r="D323" t="s">
        <v>98</v>
      </c>
      <c r="E323">
        <v>1</v>
      </c>
      <c r="F323" s="1">
        <v>5.6</v>
      </c>
      <c r="G323">
        <v>0</v>
      </c>
      <c r="H323" s="1">
        <v>0</v>
      </c>
      <c r="I323" s="1">
        <v>0</v>
      </c>
      <c r="J323" s="1">
        <v>5.6</v>
      </c>
      <c r="K323" s="1">
        <v>0</v>
      </c>
      <c r="L323" s="1">
        <v>5.6</v>
      </c>
      <c r="M323">
        <v>1</v>
      </c>
    </row>
    <row r="324" spans="1:13" x14ac:dyDescent="0.2">
      <c r="A324" t="s">
        <v>1032</v>
      </c>
      <c r="B324" t="s">
        <v>14</v>
      </c>
      <c r="C324">
        <v>9339944005026</v>
      </c>
      <c r="D324" t="s">
        <v>98</v>
      </c>
      <c r="E324">
        <v>3</v>
      </c>
      <c r="F324" s="1">
        <v>11.85</v>
      </c>
      <c r="G324">
        <v>0</v>
      </c>
      <c r="H324" s="1">
        <v>0</v>
      </c>
      <c r="I324" s="1">
        <v>-4.51</v>
      </c>
      <c r="J324" s="1">
        <v>7.34</v>
      </c>
      <c r="K324" s="1">
        <v>0</v>
      </c>
      <c r="L324" s="1">
        <v>7.34</v>
      </c>
      <c r="M324">
        <v>3</v>
      </c>
    </row>
    <row r="325" spans="1:13" x14ac:dyDescent="0.2">
      <c r="A325" t="s">
        <v>639</v>
      </c>
      <c r="B325" t="s">
        <v>14</v>
      </c>
      <c r="C325">
        <v>9339944005033</v>
      </c>
      <c r="D325" t="s">
        <v>98</v>
      </c>
      <c r="E325">
        <v>2</v>
      </c>
      <c r="F325" s="1">
        <v>8.1999999999999993</v>
      </c>
      <c r="G325">
        <v>0</v>
      </c>
      <c r="H325" s="1">
        <v>0</v>
      </c>
      <c r="I325" s="1">
        <v>-0.22</v>
      </c>
      <c r="J325" s="1">
        <v>7.98</v>
      </c>
      <c r="K325" s="1">
        <v>0</v>
      </c>
      <c r="L325" s="1">
        <v>7.98</v>
      </c>
      <c r="M325">
        <v>2</v>
      </c>
    </row>
    <row r="326" spans="1:13" x14ac:dyDescent="0.2">
      <c r="A326" t="s">
        <v>1033</v>
      </c>
      <c r="B326" t="s">
        <v>14</v>
      </c>
      <c r="C326">
        <v>9339944008904</v>
      </c>
      <c r="D326" t="s">
        <v>98</v>
      </c>
      <c r="E326">
        <v>1</v>
      </c>
      <c r="F326" s="1">
        <v>6.2</v>
      </c>
      <c r="G326">
        <v>0</v>
      </c>
      <c r="H326" s="1">
        <v>0</v>
      </c>
      <c r="I326" s="1">
        <v>-1.24</v>
      </c>
      <c r="J326" s="1">
        <v>4.96</v>
      </c>
      <c r="K326" s="1">
        <v>0</v>
      </c>
      <c r="L326" s="1">
        <v>4.96</v>
      </c>
      <c r="M326">
        <v>1</v>
      </c>
    </row>
    <row r="327" spans="1:13" x14ac:dyDescent="0.2">
      <c r="A327" t="s">
        <v>794</v>
      </c>
      <c r="B327" t="s">
        <v>14</v>
      </c>
      <c r="C327">
        <v>9339944012093</v>
      </c>
      <c r="D327" t="s">
        <v>98</v>
      </c>
      <c r="E327">
        <v>2</v>
      </c>
      <c r="F327" s="1">
        <v>19.07</v>
      </c>
      <c r="G327">
        <v>0</v>
      </c>
      <c r="H327" s="1">
        <v>0</v>
      </c>
      <c r="I327" s="1">
        <v>0</v>
      </c>
      <c r="J327" s="1">
        <v>19.07</v>
      </c>
      <c r="K327" s="1">
        <v>1.93</v>
      </c>
      <c r="L327" s="1">
        <v>21</v>
      </c>
      <c r="M327">
        <v>2</v>
      </c>
    </row>
    <row r="328" spans="1:13" x14ac:dyDescent="0.2">
      <c r="A328" t="s">
        <v>1034</v>
      </c>
      <c r="B328" t="s">
        <v>14</v>
      </c>
      <c r="C328">
        <v>9339944003589</v>
      </c>
      <c r="D328" t="s">
        <v>98</v>
      </c>
      <c r="E328">
        <v>1</v>
      </c>
      <c r="F328" s="1">
        <v>13.76</v>
      </c>
      <c r="G328">
        <v>0</v>
      </c>
      <c r="H328" s="1">
        <v>0</v>
      </c>
      <c r="I328" s="1">
        <v>0</v>
      </c>
      <c r="J328" s="1">
        <v>13.76</v>
      </c>
      <c r="K328" s="1">
        <v>1.39</v>
      </c>
      <c r="L328" s="1">
        <v>15.15</v>
      </c>
      <c r="M328">
        <v>1</v>
      </c>
    </row>
    <row r="329" spans="1:13" x14ac:dyDescent="0.2">
      <c r="A329" t="s">
        <v>1035</v>
      </c>
      <c r="B329" t="s">
        <v>14</v>
      </c>
      <c r="C329">
        <v>9339944018101</v>
      </c>
      <c r="D329" t="s">
        <v>98</v>
      </c>
      <c r="E329">
        <v>1</v>
      </c>
      <c r="F329" s="1">
        <v>8.9499999999999993</v>
      </c>
      <c r="G329">
        <v>0</v>
      </c>
      <c r="H329" s="1">
        <v>0</v>
      </c>
      <c r="I329" s="1">
        <v>0</v>
      </c>
      <c r="J329" s="1">
        <v>8.9499999999999993</v>
      </c>
      <c r="K329" s="1">
        <v>0</v>
      </c>
      <c r="L329" s="1">
        <v>8.9499999999999993</v>
      </c>
      <c r="M329">
        <v>1</v>
      </c>
    </row>
    <row r="330" spans="1:13" x14ac:dyDescent="0.2">
      <c r="A330" t="s">
        <v>1036</v>
      </c>
      <c r="B330" t="s">
        <v>14</v>
      </c>
      <c r="C330">
        <v>9339944002346</v>
      </c>
      <c r="D330" t="s">
        <v>98</v>
      </c>
      <c r="E330">
        <v>2</v>
      </c>
      <c r="F330" s="1">
        <v>39.299999999999997</v>
      </c>
      <c r="G330">
        <v>0</v>
      </c>
      <c r="H330" s="1">
        <v>0</v>
      </c>
      <c r="I330" s="1">
        <v>-5.9</v>
      </c>
      <c r="J330" s="1">
        <v>33.4</v>
      </c>
      <c r="K330" s="1">
        <v>0</v>
      </c>
      <c r="L330" s="1">
        <v>33.4</v>
      </c>
      <c r="M330">
        <v>2</v>
      </c>
    </row>
    <row r="331" spans="1:13" x14ac:dyDescent="0.2">
      <c r="A331" t="s">
        <v>795</v>
      </c>
      <c r="B331" t="s">
        <v>14</v>
      </c>
      <c r="C331">
        <v>9339944003954</v>
      </c>
      <c r="D331" t="s">
        <v>98</v>
      </c>
      <c r="E331">
        <v>2</v>
      </c>
      <c r="F331" s="1">
        <v>31.7</v>
      </c>
      <c r="G331">
        <v>0</v>
      </c>
      <c r="H331" s="1">
        <v>0</v>
      </c>
      <c r="I331" s="1">
        <v>-3.17</v>
      </c>
      <c r="J331" s="1">
        <v>28.53</v>
      </c>
      <c r="K331" s="1">
        <v>0</v>
      </c>
      <c r="L331" s="1">
        <v>28.53</v>
      </c>
      <c r="M331">
        <v>2</v>
      </c>
    </row>
    <row r="332" spans="1:13" x14ac:dyDescent="0.2">
      <c r="A332" t="s">
        <v>1037</v>
      </c>
      <c r="B332" t="s">
        <v>14</v>
      </c>
      <c r="C332">
        <v>9339944001097</v>
      </c>
      <c r="D332" t="s">
        <v>98</v>
      </c>
      <c r="E332">
        <v>1</v>
      </c>
      <c r="F332" s="1">
        <v>10.6</v>
      </c>
      <c r="G332">
        <v>0</v>
      </c>
      <c r="H332" s="1">
        <v>0</v>
      </c>
      <c r="I332" s="1">
        <v>0</v>
      </c>
      <c r="J332" s="1">
        <v>10.6</v>
      </c>
      <c r="K332" s="1">
        <v>0</v>
      </c>
      <c r="L332" s="1">
        <v>10.6</v>
      </c>
      <c r="M332">
        <v>1</v>
      </c>
    </row>
    <row r="333" spans="1:13" x14ac:dyDescent="0.2">
      <c r="A333" t="s">
        <v>640</v>
      </c>
      <c r="B333" t="s">
        <v>14</v>
      </c>
      <c r="C333">
        <v>9339944001110</v>
      </c>
      <c r="D333" t="s">
        <v>98</v>
      </c>
      <c r="E333">
        <v>2</v>
      </c>
      <c r="F333" s="1">
        <v>15.4</v>
      </c>
      <c r="G333">
        <v>0</v>
      </c>
      <c r="H333" s="1">
        <v>0</v>
      </c>
      <c r="I333" s="1">
        <v>-1.01</v>
      </c>
      <c r="J333" s="1">
        <v>14.39</v>
      </c>
      <c r="K333" s="1">
        <v>0</v>
      </c>
      <c r="L333" s="1">
        <v>14.39</v>
      </c>
      <c r="M333">
        <v>2</v>
      </c>
    </row>
    <row r="334" spans="1:13" x14ac:dyDescent="0.2">
      <c r="A334" t="s">
        <v>1038</v>
      </c>
      <c r="B334" t="s">
        <v>14</v>
      </c>
      <c r="C334">
        <v>9339944000458</v>
      </c>
      <c r="D334" t="s">
        <v>98</v>
      </c>
      <c r="E334">
        <v>1</v>
      </c>
      <c r="F334" s="1">
        <v>13</v>
      </c>
      <c r="G334">
        <v>0</v>
      </c>
      <c r="H334" s="1">
        <v>0</v>
      </c>
      <c r="I334" s="1">
        <v>0</v>
      </c>
      <c r="J334" s="1">
        <v>13</v>
      </c>
      <c r="K334" s="1">
        <v>0</v>
      </c>
      <c r="L334" s="1">
        <v>13</v>
      </c>
      <c r="M334">
        <v>1</v>
      </c>
    </row>
    <row r="335" spans="1:13" x14ac:dyDescent="0.2">
      <c r="A335" t="s">
        <v>796</v>
      </c>
      <c r="B335" t="s">
        <v>14</v>
      </c>
      <c r="C335">
        <v>9339944003213</v>
      </c>
      <c r="D335" t="s">
        <v>98</v>
      </c>
      <c r="E335">
        <v>2</v>
      </c>
      <c r="F335" s="1">
        <v>82.7</v>
      </c>
      <c r="G335">
        <v>0</v>
      </c>
      <c r="H335" s="1">
        <v>0</v>
      </c>
      <c r="I335" s="1">
        <v>-4.1399999999999997</v>
      </c>
      <c r="J335" s="1">
        <v>78.56</v>
      </c>
      <c r="K335" s="1">
        <v>0</v>
      </c>
      <c r="L335" s="1">
        <v>78.56</v>
      </c>
      <c r="M335">
        <v>2</v>
      </c>
    </row>
    <row r="336" spans="1:13" x14ac:dyDescent="0.2">
      <c r="A336" t="s">
        <v>797</v>
      </c>
      <c r="B336" t="s">
        <v>14</v>
      </c>
      <c r="C336">
        <v>9339944004487</v>
      </c>
      <c r="D336" t="s">
        <v>98</v>
      </c>
      <c r="E336">
        <v>3</v>
      </c>
      <c r="F336" s="1">
        <v>15.75</v>
      </c>
      <c r="G336">
        <v>0</v>
      </c>
      <c r="H336" s="1">
        <v>0</v>
      </c>
      <c r="I336" s="1">
        <v>-0.48</v>
      </c>
      <c r="J336" s="1">
        <v>15.27</v>
      </c>
      <c r="K336" s="1">
        <v>0</v>
      </c>
      <c r="L336" s="1">
        <v>15.27</v>
      </c>
      <c r="M336">
        <v>3</v>
      </c>
    </row>
    <row r="337" spans="1:13" x14ac:dyDescent="0.2">
      <c r="A337" t="s">
        <v>798</v>
      </c>
      <c r="B337" t="s">
        <v>14</v>
      </c>
      <c r="C337">
        <v>9339944003312</v>
      </c>
      <c r="D337" t="s">
        <v>98</v>
      </c>
      <c r="E337">
        <v>1</v>
      </c>
      <c r="F337" s="1">
        <v>10.9</v>
      </c>
      <c r="G337">
        <v>0</v>
      </c>
      <c r="H337" s="1">
        <v>0</v>
      </c>
      <c r="I337" s="1">
        <v>-1.06</v>
      </c>
      <c r="J337" s="1">
        <v>9.84</v>
      </c>
      <c r="K337" s="1">
        <v>0</v>
      </c>
      <c r="L337" s="1">
        <v>9.84</v>
      </c>
      <c r="M337">
        <v>1</v>
      </c>
    </row>
    <row r="338" spans="1:13" x14ac:dyDescent="0.2">
      <c r="A338" t="s">
        <v>1039</v>
      </c>
      <c r="B338" t="s">
        <v>14</v>
      </c>
      <c r="C338">
        <v>9339944000946</v>
      </c>
      <c r="D338" t="s">
        <v>98</v>
      </c>
      <c r="E338">
        <v>2</v>
      </c>
      <c r="F338" s="1">
        <v>25.8</v>
      </c>
      <c r="G338">
        <v>0</v>
      </c>
      <c r="H338" s="1">
        <v>0</v>
      </c>
      <c r="I338" s="1">
        <v>-2.58</v>
      </c>
      <c r="J338" s="1">
        <v>23.22</v>
      </c>
      <c r="K338" s="1">
        <v>0</v>
      </c>
      <c r="L338" s="1">
        <v>23.22</v>
      </c>
      <c r="M338">
        <v>2</v>
      </c>
    </row>
    <row r="339" spans="1:13" x14ac:dyDescent="0.2">
      <c r="A339" t="s">
        <v>1040</v>
      </c>
      <c r="B339" t="s">
        <v>14</v>
      </c>
      <c r="C339">
        <v>9421906924213</v>
      </c>
      <c r="D339" t="s">
        <v>98</v>
      </c>
      <c r="E339">
        <v>2</v>
      </c>
      <c r="F339" s="1">
        <v>27.33</v>
      </c>
      <c r="G339">
        <v>0</v>
      </c>
      <c r="H339" s="1">
        <v>0</v>
      </c>
      <c r="I339" s="1">
        <v>0</v>
      </c>
      <c r="J339" s="1">
        <v>27.33</v>
      </c>
      <c r="K339" s="1">
        <v>2.77</v>
      </c>
      <c r="L339" s="1">
        <v>30.1</v>
      </c>
      <c r="M339">
        <v>2</v>
      </c>
    </row>
    <row r="340" spans="1:13" x14ac:dyDescent="0.2">
      <c r="A340" t="s">
        <v>1041</v>
      </c>
      <c r="B340" t="s">
        <v>14</v>
      </c>
      <c r="C340">
        <v>9348082020488</v>
      </c>
      <c r="D340" t="s">
        <v>98</v>
      </c>
      <c r="E340">
        <v>1</v>
      </c>
      <c r="F340" s="1">
        <v>11.85</v>
      </c>
      <c r="G340">
        <v>0</v>
      </c>
      <c r="H340" s="1">
        <v>0</v>
      </c>
      <c r="I340" s="1">
        <v>0</v>
      </c>
      <c r="J340" s="1">
        <v>11.85</v>
      </c>
      <c r="K340" s="1">
        <v>0</v>
      </c>
      <c r="L340" s="1">
        <v>11.85</v>
      </c>
      <c r="M340">
        <v>1</v>
      </c>
    </row>
    <row r="341" spans="1:13" x14ac:dyDescent="0.2">
      <c r="A341" t="s">
        <v>799</v>
      </c>
      <c r="B341" t="s">
        <v>14</v>
      </c>
      <c r="C341">
        <v>9348082020495</v>
      </c>
      <c r="D341" t="s">
        <v>98</v>
      </c>
      <c r="E341">
        <v>3</v>
      </c>
      <c r="F341" s="1">
        <v>67.290000000000006</v>
      </c>
      <c r="G341">
        <v>0</v>
      </c>
      <c r="H341" s="1">
        <v>0</v>
      </c>
      <c r="I341" s="1">
        <v>0</v>
      </c>
      <c r="J341" s="1">
        <v>67.290000000000006</v>
      </c>
      <c r="K341" s="1">
        <v>6.81</v>
      </c>
      <c r="L341" s="1">
        <v>74.099999999999994</v>
      </c>
      <c r="M341">
        <v>3</v>
      </c>
    </row>
    <row r="342" spans="1:13" x14ac:dyDescent="0.2">
      <c r="A342" t="s">
        <v>335</v>
      </c>
      <c r="B342" t="s">
        <v>14</v>
      </c>
      <c r="C342">
        <v>9348082020631</v>
      </c>
      <c r="D342" t="s">
        <v>98</v>
      </c>
      <c r="E342">
        <v>3</v>
      </c>
      <c r="F342" s="1">
        <v>30.78</v>
      </c>
      <c r="G342">
        <v>0</v>
      </c>
      <c r="H342" s="1">
        <v>0</v>
      </c>
      <c r="I342" s="1">
        <v>0</v>
      </c>
      <c r="J342" s="1">
        <v>30.78</v>
      </c>
      <c r="K342" s="1">
        <v>3.12</v>
      </c>
      <c r="L342" s="1">
        <v>33.9</v>
      </c>
      <c r="M342">
        <v>3</v>
      </c>
    </row>
    <row r="343" spans="1:13" x14ac:dyDescent="0.2">
      <c r="A343" t="s">
        <v>1042</v>
      </c>
      <c r="B343" t="s">
        <v>14</v>
      </c>
      <c r="C343">
        <v>9348082020709</v>
      </c>
      <c r="D343" t="s">
        <v>98</v>
      </c>
      <c r="E343">
        <v>3</v>
      </c>
      <c r="F343" s="1">
        <v>84.9</v>
      </c>
      <c r="G343">
        <v>0</v>
      </c>
      <c r="H343" s="1">
        <v>0</v>
      </c>
      <c r="I343" s="1">
        <v>-8.49</v>
      </c>
      <c r="J343" s="1">
        <v>76.41</v>
      </c>
      <c r="K343" s="1">
        <v>0</v>
      </c>
      <c r="L343" s="1">
        <v>76.41</v>
      </c>
      <c r="M343">
        <v>3</v>
      </c>
    </row>
    <row r="344" spans="1:13" x14ac:dyDescent="0.2">
      <c r="A344" t="s">
        <v>1043</v>
      </c>
      <c r="B344" t="s">
        <v>14</v>
      </c>
      <c r="C344">
        <v>9348082020754</v>
      </c>
      <c r="D344" t="s">
        <v>98</v>
      </c>
      <c r="E344">
        <v>1</v>
      </c>
      <c r="F344" s="1">
        <v>24.7</v>
      </c>
      <c r="G344">
        <v>0</v>
      </c>
      <c r="H344" s="1">
        <v>0</v>
      </c>
      <c r="I344" s="1">
        <v>0</v>
      </c>
      <c r="J344" s="1">
        <v>24.7</v>
      </c>
      <c r="K344" s="1">
        <v>0</v>
      </c>
      <c r="L344" s="1">
        <v>24.7</v>
      </c>
      <c r="M344">
        <v>1</v>
      </c>
    </row>
    <row r="345" spans="1:13" x14ac:dyDescent="0.2">
      <c r="A345" t="s">
        <v>1044</v>
      </c>
      <c r="B345" t="s">
        <v>14</v>
      </c>
      <c r="C345">
        <v>9369998082827</v>
      </c>
      <c r="D345" t="s">
        <v>98</v>
      </c>
      <c r="E345">
        <v>1</v>
      </c>
      <c r="F345" s="1">
        <v>8</v>
      </c>
      <c r="G345">
        <v>0</v>
      </c>
      <c r="H345" s="1">
        <v>0</v>
      </c>
      <c r="I345" s="1">
        <v>-1.6</v>
      </c>
      <c r="J345" s="1">
        <v>6.4</v>
      </c>
      <c r="K345" s="1">
        <v>0</v>
      </c>
      <c r="L345" s="1">
        <v>6.4</v>
      </c>
      <c r="M345">
        <v>1</v>
      </c>
    </row>
    <row r="346" spans="1:13" x14ac:dyDescent="0.2">
      <c r="A346" t="s">
        <v>800</v>
      </c>
      <c r="B346" t="s">
        <v>14</v>
      </c>
      <c r="C346">
        <v>9351857000189</v>
      </c>
      <c r="D346" t="s">
        <v>98</v>
      </c>
      <c r="E346">
        <v>1</v>
      </c>
      <c r="F346" s="1">
        <v>26.5</v>
      </c>
      <c r="G346">
        <v>0</v>
      </c>
      <c r="H346" s="1">
        <v>0</v>
      </c>
      <c r="I346" s="1">
        <v>0</v>
      </c>
      <c r="J346" s="1">
        <v>26.5</v>
      </c>
      <c r="K346" s="1">
        <v>0</v>
      </c>
      <c r="L346" s="1">
        <v>26.5</v>
      </c>
      <c r="M346">
        <v>1</v>
      </c>
    </row>
    <row r="347" spans="1:13" x14ac:dyDescent="0.2">
      <c r="A347" t="s">
        <v>641</v>
      </c>
      <c r="B347" t="s">
        <v>14</v>
      </c>
      <c r="C347">
        <v>9351857000431</v>
      </c>
      <c r="D347" t="s">
        <v>98</v>
      </c>
      <c r="E347">
        <v>1</v>
      </c>
      <c r="F347" s="1">
        <v>38.549999999999997</v>
      </c>
      <c r="G347">
        <v>0</v>
      </c>
      <c r="H347" s="1">
        <v>0</v>
      </c>
      <c r="I347" s="1">
        <v>0</v>
      </c>
      <c r="J347" s="1">
        <v>38.549999999999997</v>
      </c>
      <c r="K347" s="1">
        <v>3.9</v>
      </c>
      <c r="L347" s="1">
        <v>42.45</v>
      </c>
      <c r="M347">
        <v>1</v>
      </c>
    </row>
    <row r="348" spans="1:13" x14ac:dyDescent="0.2">
      <c r="A348" t="s">
        <v>1045</v>
      </c>
      <c r="B348" t="s">
        <v>14</v>
      </c>
      <c r="C348">
        <v>9351857000196</v>
      </c>
      <c r="D348" t="s">
        <v>98</v>
      </c>
      <c r="E348">
        <v>1</v>
      </c>
      <c r="F348" s="1">
        <v>19.25</v>
      </c>
      <c r="G348">
        <v>0</v>
      </c>
      <c r="H348" s="1">
        <v>0</v>
      </c>
      <c r="I348" s="1">
        <v>0</v>
      </c>
      <c r="J348" s="1">
        <v>19.25</v>
      </c>
      <c r="K348" s="1">
        <v>1.95</v>
      </c>
      <c r="L348" s="1">
        <v>21.2</v>
      </c>
      <c r="M348">
        <v>1</v>
      </c>
    </row>
    <row r="349" spans="1:13" x14ac:dyDescent="0.2">
      <c r="A349" t="s">
        <v>642</v>
      </c>
      <c r="B349" t="s">
        <v>14</v>
      </c>
      <c r="C349">
        <v>9351857001278</v>
      </c>
      <c r="D349" t="s">
        <v>98</v>
      </c>
      <c r="E349">
        <v>2</v>
      </c>
      <c r="F349" s="1">
        <v>24.98</v>
      </c>
      <c r="G349">
        <v>0</v>
      </c>
      <c r="H349" s="1">
        <v>0</v>
      </c>
      <c r="I349" s="1">
        <v>0</v>
      </c>
      <c r="J349" s="1">
        <v>24.98</v>
      </c>
      <c r="K349" s="1">
        <v>2.52</v>
      </c>
      <c r="L349" s="1">
        <v>27.5</v>
      </c>
      <c r="M349">
        <v>2</v>
      </c>
    </row>
    <row r="350" spans="1:13" x14ac:dyDescent="0.2">
      <c r="A350" t="s">
        <v>1046</v>
      </c>
      <c r="B350" t="s">
        <v>14</v>
      </c>
      <c r="C350">
        <v>9351857001223</v>
      </c>
      <c r="D350" t="s">
        <v>98</v>
      </c>
      <c r="E350">
        <v>1</v>
      </c>
      <c r="F350" s="1">
        <v>13.4</v>
      </c>
      <c r="G350">
        <v>0</v>
      </c>
      <c r="H350" s="1">
        <v>0</v>
      </c>
      <c r="I350" s="1">
        <v>0</v>
      </c>
      <c r="J350" s="1">
        <v>13.4</v>
      </c>
      <c r="K350" s="1">
        <v>1.35</v>
      </c>
      <c r="L350" s="1">
        <v>14.75</v>
      </c>
      <c r="M350">
        <v>1</v>
      </c>
    </row>
    <row r="351" spans="1:13" x14ac:dyDescent="0.2">
      <c r="A351" t="s">
        <v>1047</v>
      </c>
      <c r="B351" t="s">
        <v>14</v>
      </c>
      <c r="C351">
        <v>9351857007003</v>
      </c>
      <c r="D351" t="s">
        <v>98</v>
      </c>
      <c r="E351">
        <v>1</v>
      </c>
      <c r="F351" s="1">
        <v>20.84</v>
      </c>
      <c r="G351">
        <v>0</v>
      </c>
      <c r="H351" s="1">
        <v>0</v>
      </c>
      <c r="I351" s="1">
        <v>0</v>
      </c>
      <c r="J351" s="1">
        <v>20.84</v>
      </c>
      <c r="K351" s="1">
        <v>2.11</v>
      </c>
      <c r="L351" s="1">
        <v>22.95</v>
      </c>
      <c r="M351">
        <v>1</v>
      </c>
    </row>
    <row r="352" spans="1:13" x14ac:dyDescent="0.2">
      <c r="A352" t="s">
        <v>1048</v>
      </c>
      <c r="B352" t="s">
        <v>14</v>
      </c>
      <c r="C352">
        <v>9351857001070</v>
      </c>
      <c r="D352" t="s">
        <v>98</v>
      </c>
      <c r="E352">
        <v>1</v>
      </c>
      <c r="F352" s="1">
        <v>12.49</v>
      </c>
      <c r="G352">
        <v>0</v>
      </c>
      <c r="H352" s="1">
        <v>0</v>
      </c>
      <c r="I352" s="1">
        <v>0</v>
      </c>
      <c r="J352" s="1">
        <v>12.49</v>
      </c>
      <c r="K352" s="1">
        <v>1.26</v>
      </c>
      <c r="L352" s="1">
        <v>13.75</v>
      </c>
      <c r="M352">
        <v>1</v>
      </c>
    </row>
    <row r="353" spans="1:13" x14ac:dyDescent="0.2">
      <c r="A353" t="s">
        <v>1049</v>
      </c>
      <c r="B353" t="s">
        <v>14</v>
      </c>
      <c r="C353">
        <v>9351857001018</v>
      </c>
      <c r="D353" t="s">
        <v>98</v>
      </c>
      <c r="E353">
        <v>2</v>
      </c>
      <c r="F353" s="1">
        <v>22.16</v>
      </c>
      <c r="G353">
        <v>0</v>
      </c>
      <c r="H353" s="1">
        <v>0</v>
      </c>
      <c r="I353" s="1">
        <v>0</v>
      </c>
      <c r="J353" s="1">
        <v>22.16</v>
      </c>
      <c r="K353" s="1">
        <v>2.2400000000000002</v>
      </c>
      <c r="L353" s="1">
        <v>24.4</v>
      </c>
      <c r="M353">
        <v>2</v>
      </c>
    </row>
    <row r="354" spans="1:13" x14ac:dyDescent="0.2">
      <c r="A354" t="s">
        <v>1050</v>
      </c>
      <c r="B354" t="s">
        <v>14</v>
      </c>
      <c r="C354">
        <v>9351857002558</v>
      </c>
      <c r="D354" t="s">
        <v>98</v>
      </c>
      <c r="E354">
        <v>1</v>
      </c>
      <c r="F354" s="1">
        <v>19.309999999999999</v>
      </c>
      <c r="G354">
        <v>0</v>
      </c>
      <c r="H354" s="1">
        <v>0</v>
      </c>
      <c r="I354" s="1">
        <v>-0.67</v>
      </c>
      <c r="J354" s="1">
        <v>18.64</v>
      </c>
      <c r="K354" s="1">
        <v>1.89</v>
      </c>
      <c r="L354" s="1">
        <v>20.53</v>
      </c>
      <c r="M354">
        <v>1</v>
      </c>
    </row>
    <row r="355" spans="1:13" x14ac:dyDescent="0.2">
      <c r="A355" t="s">
        <v>99</v>
      </c>
      <c r="B355" t="s">
        <v>14</v>
      </c>
      <c r="C355">
        <v>100000001103</v>
      </c>
      <c r="D355" t="s">
        <v>98</v>
      </c>
      <c r="E355">
        <v>5</v>
      </c>
      <c r="F355" s="1">
        <v>40</v>
      </c>
      <c r="G355">
        <v>0</v>
      </c>
      <c r="H355" s="1">
        <v>0</v>
      </c>
      <c r="I355" s="1">
        <v>-3.71</v>
      </c>
      <c r="J355" s="1">
        <v>36.29</v>
      </c>
      <c r="K355" s="1">
        <v>0</v>
      </c>
      <c r="L355" s="1">
        <v>36.29</v>
      </c>
      <c r="M355">
        <v>5</v>
      </c>
    </row>
    <row r="356" spans="1:13" x14ac:dyDescent="0.2">
      <c r="A356" t="s">
        <v>1051</v>
      </c>
      <c r="B356" t="s">
        <v>14</v>
      </c>
      <c r="C356">
        <v>7290108802535</v>
      </c>
      <c r="D356" t="s">
        <v>98</v>
      </c>
      <c r="E356">
        <v>1</v>
      </c>
      <c r="F356" s="1">
        <v>38.950000000000003</v>
      </c>
      <c r="G356">
        <v>0</v>
      </c>
      <c r="H356" s="1">
        <v>0</v>
      </c>
      <c r="I356" s="1">
        <v>0</v>
      </c>
      <c r="J356" s="1">
        <v>38.950000000000003</v>
      </c>
      <c r="K356" s="1">
        <v>0</v>
      </c>
      <c r="L356" s="1">
        <v>38.950000000000003</v>
      </c>
      <c r="M356">
        <v>1</v>
      </c>
    </row>
    <row r="357" spans="1:13" x14ac:dyDescent="0.2">
      <c r="A357" t="s">
        <v>801</v>
      </c>
      <c r="B357" t="s">
        <v>14</v>
      </c>
      <c r="C357">
        <v>9332834001252</v>
      </c>
      <c r="D357" t="s">
        <v>98</v>
      </c>
      <c r="E357">
        <v>1</v>
      </c>
      <c r="F357" s="1">
        <v>13</v>
      </c>
      <c r="G357">
        <v>0</v>
      </c>
      <c r="H357" s="1">
        <v>0</v>
      </c>
      <c r="I357" s="1">
        <v>0</v>
      </c>
      <c r="J357" s="1">
        <v>13</v>
      </c>
      <c r="K357" s="1">
        <v>0</v>
      </c>
      <c r="L357" s="1">
        <v>13</v>
      </c>
      <c r="M357">
        <v>1</v>
      </c>
    </row>
    <row r="358" spans="1:13" x14ac:dyDescent="0.2">
      <c r="A358" t="s">
        <v>1052</v>
      </c>
      <c r="B358" t="s">
        <v>14</v>
      </c>
      <c r="C358">
        <v>785034586972</v>
      </c>
      <c r="D358" t="s">
        <v>98</v>
      </c>
      <c r="E358">
        <v>2</v>
      </c>
      <c r="F358" s="1">
        <v>42.5</v>
      </c>
      <c r="G358">
        <v>0</v>
      </c>
      <c r="H358" s="1">
        <v>0</v>
      </c>
      <c r="I358" s="1">
        <v>-4.25</v>
      </c>
      <c r="J358" s="1">
        <v>38.25</v>
      </c>
      <c r="K358" s="1">
        <v>0</v>
      </c>
      <c r="L358" s="1">
        <v>38.25</v>
      </c>
      <c r="M358">
        <v>2</v>
      </c>
    </row>
    <row r="359" spans="1:13" x14ac:dyDescent="0.2">
      <c r="A359" t="s">
        <v>643</v>
      </c>
      <c r="B359" t="s">
        <v>14</v>
      </c>
      <c r="C359">
        <v>9312336275016</v>
      </c>
      <c r="D359" t="s">
        <v>98</v>
      </c>
      <c r="E359">
        <v>1</v>
      </c>
      <c r="F359" s="1">
        <v>3.3</v>
      </c>
      <c r="G359">
        <v>0</v>
      </c>
      <c r="H359" s="1">
        <v>0</v>
      </c>
      <c r="I359" s="1">
        <v>0</v>
      </c>
      <c r="J359" s="1">
        <v>3.3</v>
      </c>
      <c r="K359" s="1">
        <v>0</v>
      </c>
      <c r="L359" s="1">
        <v>3.3</v>
      </c>
      <c r="M359">
        <v>1</v>
      </c>
    </row>
    <row r="360" spans="1:13" x14ac:dyDescent="0.2">
      <c r="A360" t="s">
        <v>1053</v>
      </c>
      <c r="B360" t="s">
        <v>14</v>
      </c>
      <c r="C360">
        <v>793052218041</v>
      </c>
      <c r="D360" t="s">
        <v>98</v>
      </c>
      <c r="E360">
        <v>1</v>
      </c>
      <c r="F360" s="1">
        <v>7.25</v>
      </c>
      <c r="G360">
        <v>0</v>
      </c>
      <c r="H360" s="1">
        <v>0</v>
      </c>
      <c r="I360" s="1">
        <v>0</v>
      </c>
      <c r="J360" s="1">
        <v>7.25</v>
      </c>
      <c r="K360" s="1">
        <v>0</v>
      </c>
      <c r="L360" s="1">
        <v>7.25</v>
      </c>
      <c r="M360">
        <v>1</v>
      </c>
    </row>
    <row r="361" spans="1:13" x14ac:dyDescent="0.2">
      <c r="A361" t="s">
        <v>386</v>
      </c>
      <c r="B361" t="s">
        <v>14</v>
      </c>
      <c r="C361">
        <v>8997033003387</v>
      </c>
      <c r="D361" t="s">
        <v>98</v>
      </c>
      <c r="E361">
        <v>1</v>
      </c>
      <c r="F361" s="1">
        <v>3.81</v>
      </c>
      <c r="G361">
        <v>0</v>
      </c>
      <c r="H361" s="1">
        <v>0</v>
      </c>
      <c r="I361" s="1">
        <v>0</v>
      </c>
      <c r="J361" s="1">
        <v>3.81</v>
      </c>
      <c r="K361" s="1">
        <v>0.39</v>
      </c>
      <c r="L361" s="1">
        <v>4.2</v>
      </c>
      <c r="M361">
        <v>1</v>
      </c>
    </row>
    <row r="362" spans="1:13" x14ac:dyDescent="0.2">
      <c r="A362" t="s">
        <v>391</v>
      </c>
      <c r="B362" t="s">
        <v>14</v>
      </c>
      <c r="C362">
        <v>8997033003394</v>
      </c>
      <c r="D362" t="s">
        <v>98</v>
      </c>
      <c r="E362">
        <v>4</v>
      </c>
      <c r="F362" s="1">
        <v>15.41</v>
      </c>
      <c r="G362">
        <v>0</v>
      </c>
      <c r="H362" s="1">
        <v>0</v>
      </c>
      <c r="I362" s="1">
        <v>-1.68</v>
      </c>
      <c r="J362" s="1">
        <v>13.73</v>
      </c>
      <c r="K362" s="1">
        <v>1.39</v>
      </c>
      <c r="L362" s="1">
        <v>15.12</v>
      </c>
      <c r="M362">
        <v>4</v>
      </c>
    </row>
    <row r="363" spans="1:13" x14ac:dyDescent="0.2">
      <c r="A363" t="s">
        <v>644</v>
      </c>
      <c r="B363" t="s">
        <v>14</v>
      </c>
      <c r="C363">
        <v>8997033003400</v>
      </c>
      <c r="D363" t="s">
        <v>98</v>
      </c>
      <c r="E363">
        <v>6</v>
      </c>
      <c r="F363" s="1">
        <v>22.89</v>
      </c>
      <c r="G363">
        <v>0</v>
      </c>
      <c r="H363" s="1">
        <v>0</v>
      </c>
      <c r="I363" s="1">
        <v>-0.1</v>
      </c>
      <c r="J363" s="1">
        <v>22.79</v>
      </c>
      <c r="K363" s="1">
        <v>2.31</v>
      </c>
      <c r="L363" s="1">
        <v>25.1</v>
      </c>
      <c r="M363">
        <v>6</v>
      </c>
    </row>
    <row r="364" spans="1:13" x14ac:dyDescent="0.2">
      <c r="A364" t="s">
        <v>418</v>
      </c>
      <c r="B364" t="s">
        <v>14</v>
      </c>
      <c r="C364">
        <v>8997033003424</v>
      </c>
      <c r="D364" t="s">
        <v>98</v>
      </c>
      <c r="E364">
        <v>1</v>
      </c>
      <c r="F364" s="1">
        <v>3.82</v>
      </c>
      <c r="G364">
        <v>0</v>
      </c>
      <c r="H364" s="1">
        <v>0</v>
      </c>
      <c r="I364" s="1">
        <v>0</v>
      </c>
      <c r="J364" s="1">
        <v>3.82</v>
      </c>
      <c r="K364" s="1">
        <v>0.38</v>
      </c>
      <c r="L364" s="1">
        <v>4.2</v>
      </c>
      <c r="M364">
        <v>1</v>
      </c>
    </row>
    <row r="365" spans="1:13" x14ac:dyDescent="0.2">
      <c r="A365" t="s">
        <v>645</v>
      </c>
      <c r="B365" t="s">
        <v>14</v>
      </c>
      <c r="C365">
        <v>794712897361</v>
      </c>
      <c r="D365" t="s">
        <v>100</v>
      </c>
      <c r="E365">
        <v>1</v>
      </c>
      <c r="F365" s="1">
        <v>39.24</v>
      </c>
      <c r="G365">
        <v>0</v>
      </c>
      <c r="H365" s="1">
        <v>0</v>
      </c>
      <c r="I365" s="1">
        <v>-8.4700000000000006</v>
      </c>
      <c r="J365" s="1">
        <v>30.77</v>
      </c>
      <c r="K365" s="1">
        <v>3.11</v>
      </c>
      <c r="L365" s="1">
        <v>33.880000000000003</v>
      </c>
      <c r="M365">
        <v>1</v>
      </c>
    </row>
    <row r="366" spans="1:13" x14ac:dyDescent="0.2">
      <c r="A366" t="s">
        <v>1054</v>
      </c>
      <c r="B366" t="s">
        <v>14</v>
      </c>
      <c r="C366">
        <v>9354449070010</v>
      </c>
      <c r="D366" t="s">
        <v>100</v>
      </c>
      <c r="E366">
        <v>1</v>
      </c>
      <c r="F366" s="1">
        <v>113.65</v>
      </c>
      <c r="G366">
        <v>0</v>
      </c>
      <c r="H366" s="1">
        <v>0</v>
      </c>
      <c r="I366" s="1">
        <v>0</v>
      </c>
      <c r="J366" s="1">
        <v>113.65</v>
      </c>
      <c r="K366" s="1">
        <v>0</v>
      </c>
      <c r="L366" s="1">
        <v>113.65</v>
      </c>
      <c r="M366">
        <v>1</v>
      </c>
    </row>
    <row r="367" spans="1:13" x14ac:dyDescent="0.2">
      <c r="A367" t="s">
        <v>646</v>
      </c>
      <c r="B367" t="s">
        <v>14</v>
      </c>
      <c r="C367">
        <v>9354449070027</v>
      </c>
      <c r="D367" t="s">
        <v>100</v>
      </c>
      <c r="E367">
        <v>1</v>
      </c>
      <c r="F367" s="1">
        <v>10.95</v>
      </c>
      <c r="G367">
        <v>0</v>
      </c>
      <c r="H367" s="1">
        <v>0</v>
      </c>
      <c r="I367" s="1">
        <v>0</v>
      </c>
      <c r="J367" s="1">
        <v>10.95</v>
      </c>
      <c r="K367" s="1">
        <v>0</v>
      </c>
      <c r="L367" s="1">
        <v>10.95</v>
      </c>
      <c r="M367">
        <v>1</v>
      </c>
    </row>
    <row r="368" spans="1:13" x14ac:dyDescent="0.2">
      <c r="A368" t="s">
        <v>1055</v>
      </c>
      <c r="B368" t="s">
        <v>337</v>
      </c>
      <c r="C368" t="s">
        <v>1056</v>
      </c>
      <c r="D368" t="s">
        <v>100</v>
      </c>
      <c r="E368">
        <v>6</v>
      </c>
      <c r="F368" s="1">
        <v>24.6</v>
      </c>
      <c r="G368">
        <v>0</v>
      </c>
      <c r="H368" s="1">
        <v>0</v>
      </c>
      <c r="I368" s="1">
        <v>0</v>
      </c>
      <c r="J368" s="1">
        <v>24.6</v>
      </c>
      <c r="K368" s="1">
        <v>0</v>
      </c>
      <c r="L368" s="1">
        <v>24.6</v>
      </c>
      <c r="M368">
        <v>6</v>
      </c>
    </row>
    <row r="369" spans="1:13" x14ac:dyDescent="0.2">
      <c r="A369" t="s">
        <v>336</v>
      </c>
      <c r="B369" t="s">
        <v>647</v>
      </c>
      <c r="C369">
        <v>726436085717</v>
      </c>
      <c r="D369" t="s">
        <v>100</v>
      </c>
      <c r="E369">
        <v>1</v>
      </c>
      <c r="F369" s="1">
        <v>55</v>
      </c>
      <c r="G369">
        <v>0</v>
      </c>
      <c r="H369" s="1">
        <v>0</v>
      </c>
      <c r="I369" s="1">
        <v>0</v>
      </c>
      <c r="J369" s="1">
        <v>55</v>
      </c>
      <c r="K369" s="1">
        <v>0</v>
      </c>
      <c r="L369" s="1">
        <v>55</v>
      </c>
      <c r="M369">
        <v>1</v>
      </c>
    </row>
    <row r="370" spans="1:13" x14ac:dyDescent="0.2">
      <c r="A370" t="s">
        <v>338</v>
      </c>
      <c r="B370" t="s">
        <v>337</v>
      </c>
      <c r="C370" t="s">
        <v>339</v>
      </c>
      <c r="D370" t="s">
        <v>100</v>
      </c>
      <c r="E370">
        <v>9</v>
      </c>
      <c r="F370" s="1">
        <v>36</v>
      </c>
      <c r="G370">
        <v>0</v>
      </c>
      <c r="H370" s="1">
        <v>0</v>
      </c>
      <c r="I370" s="1">
        <v>-1.61</v>
      </c>
      <c r="J370" s="1">
        <v>34.39</v>
      </c>
      <c r="K370" s="1">
        <v>0</v>
      </c>
      <c r="L370" s="1">
        <v>34.39</v>
      </c>
      <c r="M370">
        <v>9</v>
      </c>
    </row>
    <row r="371" spans="1:13" x14ac:dyDescent="0.2">
      <c r="A371" t="s">
        <v>340</v>
      </c>
      <c r="B371" t="s">
        <v>337</v>
      </c>
      <c r="C371" t="s">
        <v>341</v>
      </c>
      <c r="D371" t="s">
        <v>100</v>
      </c>
      <c r="E371">
        <v>10</v>
      </c>
      <c r="F371" s="1">
        <v>40</v>
      </c>
      <c r="G371">
        <v>0</v>
      </c>
      <c r="H371" s="1">
        <v>0</v>
      </c>
      <c r="I371" s="1">
        <v>0</v>
      </c>
      <c r="J371" s="1">
        <v>40</v>
      </c>
      <c r="K371" s="1">
        <v>0</v>
      </c>
      <c r="L371" s="1">
        <v>40</v>
      </c>
      <c r="M371">
        <v>10</v>
      </c>
    </row>
    <row r="372" spans="1:13" x14ac:dyDescent="0.2">
      <c r="A372" t="s">
        <v>1057</v>
      </c>
      <c r="B372" t="s">
        <v>14</v>
      </c>
      <c r="C372">
        <v>9332834002518</v>
      </c>
      <c r="D372" t="s">
        <v>100</v>
      </c>
      <c r="E372">
        <v>1</v>
      </c>
      <c r="F372" s="1">
        <v>44.35</v>
      </c>
      <c r="G372">
        <v>0</v>
      </c>
      <c r="H372" s="1">
        <v>0</v>
      </c>
      <c r="I372" s="1">
        <v>0</v>
      </c>
      <c r="J372" s="1">
        <v>44.35</v>
      </c>
      <c r="K372" s="1">
        <v>0</v>
      </c>
      <c r="L372" s="1">
        <v>44.35</v>
      </c>
      <c r="M372">
        <v>1</v>
      </c>
    </row>
    <row r="373" spans="1:13" x14ac:dyDescent="0.2">
      <c r="A373" t="s">
        <v>1058</v>
      </c>
      <c r="B373" t="s">
        <v>14</v>
      </c>
      <c r="C373">
        <v>9354444001101</v>
      </c>
      <c r="D373" t="s">
        <v>100</v>
      </c>
      <c r="E373">
        <v>1</v>
      </c>
      <c r="F373" s="1">
        <v>29.92</v>
      </c>
      <c r="G373">
        <v>0</v>
      </c>
      <c r="H373" s="1">
        <v>0</v>
      </c>
      <c r="I373" s="1">
        <v>0</v>
      </c>
      <c r="J373" s="1">
        <v>29.92</v>
      </c>
      <c r="K373" s="1">
        <v>3.03</v>
      </c>
      <c r="L373" s="1">
        <v>32.950000000000003</v>
      </c>
      <c r="M373">
        <v>1</v>
      </c>
    </row>
    <row r="374" spans="1:13" x14ac:dyDescent="0.2">
      <c r="A374" t="s">
        <v>1059</v>
      </c>
      <c r="B374" t="s">
        <v>14</v>
      </c>
      <c r="C374">
        <v>9421902964411</v>
      </c>
      <c r="D374" t="s">
        <v>101</v>
      </c>
      <c r="E374">
        <v>2</v>
      </c>
      <c r="F374" s="1">
        <v>18.16</v>
      </c>
      <c r="G374">
        <v>0</v>
      </c>
      <c r="H374" s="1">
        <v>0</v>
      </c>
      <c r="I374" s="1">
        <v>0</v>
      </c>
      <c r="J374" s="1">
        <v>18.16</v>
      </c>
      <c r="K374" s="1">
        <v>1.84</v>
      </c>
      <c r="L374" s="1">
        <v>20</v>
      </c>
      <c r="M374">
        <v>2</v>
      </c>
    </row>
    <row r="375" spans="1:13" x14ac:dyDescent="0.2">
      <c r="A375" t="s">
        <v>1060</v>
      </c>
      <c r="B375" t="s">
        <v>14</v>
      </c>
      <c r="C375">
        <v>9421902090028</v>
      </c>
      <c r="D375" t="s">
        <v>101</v>
      </c>
      <c r="E375">
        <v>2</v>
      </c>
      <c r="F375" s="1">
        <v>10.17</v>
      </c>
      <c r="G375">
        <v>0</v>
      </c>
      <c r="H375" s="1">
        <v>0</v>
      </c>
      <c r="I375" s="1">
        <v>0</v>
      </c>
      <c r="J375" s="1">
        <v>10.17</v>
      </c>
      <c r="K375" s="1">
        <v>1.03</v>
      </c>
      <c r="L375" s="1">
        <v>11.2</v>
      </c>
      <c r="M375">
        <v>2</v>
      </c>
    </row>
    <row r="376" spans="1:13" x14ac:dyDescent="0.2">
      <c r="A376" t="s">
        <v>392</v>
      </c>
      <c r="B376" t="s">
        <v>14</v>
      </c>
      <c r="C376">
        <v>9352271000380</v>
      </c>
      <c r="D376" t="s">
        <v>101</v>
      </c>
      <c r="E376">
        <v>16</v>
      </c>
      <c r="F376" s="1">
        <v>72.02</v>
      </c>
      <c r="G376">
        <v>0</v>
      </c>
      <c r="H376" s="1">
        <v>0</v>
      </c>
      <c r="I376" s="1">
        <v>-0.54</v>
      </c>
      <c r="J376" s="1">
        <v>71.48</v>
      </c>
      <c r="K376" s="1">
        <v>7.18</v>
      </c>
      <c r="L376" s="1">
        <v>78.66</v>
      </c>
      <c r="M376">
        <v>16</v>
      </c>
    </row>
    <row r="377" spans="1:13" x14ac:dyDescent="0.2">
      <c r="A377" t="s">
        <v>393</v>
      </c>
      <c r="B377" t="s">
        <v>14</v>
      </c>
      <c r="C377">
        <v>9352271000366</v>
      </c>
      <c r="D377" t="s">
        <v>101</v>
      </c>
      <c r="E377">
        <v>8</v>
      </c>
      <c r="F377" s="1">
        <v>23.61</v>
      </c>
      <c r="G377">
        <v>0</v>
      </c>
      <c r="H377" s="1">
        <v>0</v>
      </c>
      <c r="I377" s="1">
        <v>0</v>
      </c>
      <c r="J377" s="1">
        <v>23.61</v>
      </c>
      <c r="K377" s="1">
        <v>2.39</v>
      </c>
      <c r="L377" s="1">
        <v>26</v>
      </c>
      <c r="M377">
        <v>8</v>
      </c>
    </row>
    <row r="378" spans="1:13" x14ac:dyDescent="0.2">
      <c r="A378" t="s">
        <v>526</v>
      </c>
      <c r="B378" t="s">
        <v>14</v>
      </c>
      <c r="C378">
        <v>9300745900858</v>
      </c>
      <c r="D378" t="s">
        <v>101</v>
      </c>
      <c r="E378">
        <v>2</v>
      </c>
      <c r="F378" s="1">
        <v>49.58</v>
      </c>
      <c r="G378">
        <v>0</v>
      </c>
      <c r="H378" s="1">
        <v>0</v>
      </c>
      <c r="I378" s="1">
        <v>0</v>
      </c>
      <c r="J378" s="1">
        <v>49.58</v>
      </c>
      <c r="K378" s="1">
        <v>5.0199999999999996</v>
      </c>
      <c r="L378" s="1">
        <v>54.6</v>
      </c>
      <c r="M378">
        <v>2</v>
      </c>
    </row>
    <row r="379" spans="1:13" x14ac:dyDescent="0.2">
      <c r="A379" t="s">
        <v>802</v>
      </c>
      <c r="B379" t="s">
        <v>14</v>
      </c>
      <c r="C379">
        <v>9421017790097</v>
      </c>
      <c r="D379" t="s">
        <v>101</v>
      </c>
      <c r="E379">
        <v>3</v>
      </c>
      <c r="F379" s="1">
        <v>25.74</v>
      </c>
      <c r="G379">
        <v>0</v>
      </c>
      <c r="H379" s="1">
        <v>0</v>
      </c>
      <c r="I379" s="1">
        <v>0</v>
      </c>
      <c r="J379" s="1">
        <v>25.74</v>
      </c>
      <c r="K379" s="1">
        <v>2.61</v>
      </c>
      <c r="L379" s="1">
        <v>28.35</v>
      </c>
      <c r="M379">
        <v>3</v>
      </c>
    </row>
    <row r="380" spans="1:13" x14ac:dyDescent="0.2">
      <c r="A380" t="s">
        <v>651</v>
      </c>
      <c r="B380" t="s">
        <v>14</v>
      </c>
      <c r="C380">
        <v>9421017790103</v>
      </c>
      <c r="D380" t="s">
        <v>101</v>
      </c>
      <c r="E380">
        <v>6</v>
      </c>
      <c r="F380" s="1">
        <v>35.409999999999997</v>
      </c>
      <c r="G380">
        <v>0</v>
      </c>
      <c r="H380" s="1">
        <v>0</v>
      </c>
      <c r="I380" s="1">
        <v>0</v>
      </c>
      <c r="J380" s="1">
        <v>35.409999999999997</v>
      </c>
      <c r="K380" s="1">
        <v>3.59</v>
      </c>
      <c r="L380" s="1">
        <v>39</v>
      </c>
      <c r="M380">
        <v>6</v>
      </c>
    </row>
    <row r="381" spans="1:13" x14ac:dyDescent="0.2">
      <c r="A381" t="s">
        <v>342</v>
      </c>
      <c r="B381" t="s">
        <v>14</v>
      </c>
      <c r="C381">
        <v>9421017790127</v>
      </c>
      <c r="D381" t="s">
        <v>101</v>
      </c>
      <c r="E381">
        <v>4</v>
      </c>
      <c r="F381" s="1">
        <v>23.6</v>
      </c>
      <c r="G381">
        <v>0</v>
      </c>
      <c r="H381" s="1">
        <v>0</v>
      </c>
      <c r="I381" s="1">
        <v>-1.59</v>
      </c>
      <c r="J381" s="1">
        <v>22.01</v>
      </c>
      <c r="K381" s="1">
        <v>0</v>
      </c>
      <c r="L381" s="1">
        <v>22.01</v>
      </c>
      <c r="M381">
        <v>4</v>
      </c>
    </row>
    <row r="382" spans="1:13" x14ac:dyDescent="0.2">
      <c r="A382" t="s">
        <v>527</v>
      </c>
      <c r="B382" t="s">
        <v>14</v>
      </c>
      <c r="C382">
        <v>9339496000005</v>
      </c>
      <c r="D382" t="s">
        <v>101</v>
      </c>
      <c r="E382">
        <v>2</v>
      </c>
      <c r="F382" s="1">
        <v>7.62</v>
      </c>
      <c r="G382">
        <v>0</v>
      </c>
      <c r="H382" s="1">
        <v>0</v>
      </c>
      <c r="I382" s="1">
        <v>0</v>
      </c>
      <c r="J382" s="1">
        <v>7.62</v>
      </c>
      <c r="K382" s="1">
        <v>0.78</v>
      </c>
      <c r="L382" s="1">
        <v>8.4</v>
      </c>
      <c r="M382">
        <v>2</v>
      </c>
    </row>
    <row r="383" spans="1:13" x14ac:dyDescent="0.2">
      <c r="A383" t="s">
        <v>343</v>
      </c>
      <c r="B383" t="s">
        <v>14</v>
      </c>
      <c r="C383">
        <v>9369900033589</v>
      </c>
      <c r="D383" t="s">
        <v>101</v>
      </c>
      <c r="E383">
        <v>2</v>
      </c>
      <c r="F383" s="1">
        <v>10</v>
      </c>
      <c r="G383">
        <v>0</v>
      </c>
      <c r="H383" s="1">
        <v>0</v>
      </c>
      <c r="I383" s="1">
        <v>0</v>
      </c>
      <c r="J383" s="1">
        <v>10</v>
      </c>
      <c r="K383" s="1">
        <v>0</v>
      </c>
      <c r="L383" s="1">
        <v>10</v>
      </c>
      <c r="M383">
        <v>2</v>
      </c>
    </row>
    <row r="384" spans="1:13" x14ac:dyDescent="0.2">
      <c r="A384" t="s">
        <v>803</v>
      </c>
      <c r="B384" t="s">
        <v>14</v>
      </c>
      <c r="C384">
        <v>9369998245338</v>
      </c>
      <c r="D384" t="s">
        <v>101</v>
      </c>
      <c r="E384">
        <v>2</v>
      </c>
      <c r="F384" s="1">
        <v>10</v>
      </c>
      <c r="G384">
        <v>0</v>
      </c>
      <c r="H384" s="1">
        <v>0</v>
      </c>
      <c r="I384" s="1">
        <v>0</v>
      </c>
      <c r="J384" s="1">
        <v>10</v>
      </c>
      <c r="K384" s="1">
        <v>0</v>
      </c>
      <c r="L384" s="1">
        <v>10</v>
      </c>
      <c r="M384">
        <v>2</v>
      </c>
    </row>
    <row r="385" spans="1:13" x14ac:dyDescent="0.2">
      <c r="A385" t="s">
        <v>804</v>
      </c>
      <c r="B385" t="s">
        <v>14</v>
      </c>
      <c r="C385">
        <v>9369998168101</v>
      </c>
      <c r="D385" t="s">
        <v>101</v>
      </c>
      <c r="E385">
        <v>1</v>
      </c>
      <c r="F385" s="1">
        <v>5</v>
      </c>
      <c r="G385">
        <v>0</v>
      </c>
      <c r="H385" s="1">
        <v>0</v>
      </c>
      <c r="I385" s="1">
        <v>0</v>
      </c>
      <c r="J385" s="1">
        <v>5</v>
      </c>
      <c r="K385" s="1">
        <v>0</v>
      </c>
      <c r="L385" s="1">
        <v>5</v>
      </c>
      <c r="M385">
        <v>1</v>
      </c>
    </row>
    <row r="386" spans="1:13" x14ac:dyDescent="0.2">
      <c r="A386" t="s">
        <v>296</v>
      </c>
      <c r="B386" t="s">
        <v>14</v>
      </c>
      <c r="C386">
        <v>9312336048221</v>
      </c>
      <c r="D386" t="s">
        <v>101</v>
      </c>
      <c r="E386">
        <v>8</v>
      </c>
      <c r="F386" s="1">
        <v>33.42</v>
      </c>
      <c r="G386">
        <v>0</v>
      </c>
      <c r="H386" s="1">
        <v>0</v>
      </c>
      <c r="I386" s="1">
        <v>0</v>
      </c>
      <c r="J386" s="1">
        <v>33.42</v>
      </c>
      <c r="K386" s="1">
        <v>3.38</v>
      </c>
      <c r="L386" s="1">
        <v>36.799999999999997</v>
      </c>
      <c r="M386">
        <v>8</v>
      </c>
    </row>
    <row r="387" spans="1:13" x14ac:dyDescent="0.2">
      <c r="A387" t="s">
        <v>297</v>
      </c>
      <c r="B387" t="s">
        <v>14</v>
      </c>
      <c r="C387">
        <v>9312336048290</v>
      </c>
      <c r="D387" t="s">
        <v>101</v>
      </c>
      <c r="E387">
        <v>2</v>
      </c>
      <c r="F387" s="1">
        <v>8.35</v>
      </c>
      <c r="G387">
        <v>0</v>
      </c>
      <c r="H387" s="1">
        <v>0</v>
      </c>
      <c r="I387" s="1">
        <v>0</v>
      </c>
      <c r="J387" s="1">
        <v>8.35</v>
      </c>
      <c r="K387" s="1">
        <v>0.85</v>
      </c>
      <c r="L387" s="1">
        <v>9.1999999999999993</v>
      </c>
      <c r="M387">
        <v>2</v>
      </c>
    </row>
    <row r="388" spans="1:13" x14ac:dyDescent="0.2">
      <c r="A388" t="s">
        <v>102</v>
      </c>
      <c r="B388" t="s">
        <v>14</v>
      </c>
      <c r="C388">
        <v>9312336048283</v>
      </c>
      <c r="D388" t="s">
        <v>101</v>
      </c>
      <c r="E388">
        <v>6</v>
      </c>
      <c r="F388" s="1">
        <v>25.08</v>
      </c>
      <c r="G388">
        <v>0</v>
      </c>
      <c r="H388" s="1">
        <v>0</v>
      </c>
      <c r="I388" s="1">
        <v>0</v>
      </c>
      <c r="J388" s="1">
        <v>25.08</v>
      </c>
      <c r="K388" s="1">
        <v>2.52</v>
      </c>
      <c r="L388" s="1">
        <v>27.6</v>
      </c>
      <c r="M388">
        <v>6</v>
      </c>
    </row>
    <row r="389" spans="1:13" x14ac:dyDescent="0.2">
      <c r="A389" t="s">
        <v>310</v>
      </c>
      <c r="B389" t="s">
        <v>14</v>
      </c>
      <c r="C389">
        <v>9312336048214</v>
      </c>
      <c r="D389" t="s">
        <v>101</v>
      </c>
      <c r="E389">
        <v>7</v>
      </c>
      <c r="F389" s="1">
        <v>29.25</v>
      </c>
      <c r="G389">
        <v>0</v>
      </c>
      <c r="H389" s="1">
        <v>0</v>
      </c>
      <c r="I389" s="1">
        <v>0</v>
      </c>
      <c r="J389" s="1">
        <v>29.25</v>
      </c>
      <c r="K389" s="1">
        <v>2.95</v>
      </c>
      <c r="L389" s="1">
        <v>32.200000000000003</v>
      </c>
      <c r="M389">
        <v>7</v>
      </c>
    </row>
    <row r="390" spans="1:13" x14ac:dyDescent="0.2">
      <c r="A390" t="s">
        <v>530</v>
      </c>
      <c r="B390" t="s">
        <v>14</v>
      </c>
      <c r="C390">
        <v>9421902964909</v>
      </c>
      <c r="D390" t="s">
        <v>101</v>
      </c>
      <c r="E390">
        <v>1</v>
      </c>
      <c r="F390" s="1">
        <v>8.76</v>
      </c>
      <c r="G390">
        <v>0</v>
      </c>
      <c r="H390" s="1">
        <v>0</v>
      </c>
      <c r="I390" s="1">
        <v>0</v>
      </c>
      <c r="J390" s="1">
        <v>8.76</v>
      </c>
      <c r="K390" s="1">
        <v>0.89</v>
      </c>
      <c r="L390" s="1">
        <v>9.65</v>
      </c>
      <c r="M390">
        <v>1</v>
      </c>
    </row>
    <row r="391" spans="1:13" x14ac:dyDescent="0.2">
      <c r="A391" t="s">
        <v>531</v>
      </c>
      <c r="B391" t="s">
        <v>14</v>
      </c>
      <c r="C391">
        <v>9309000071067</v>
      </c>
      <c r="D391" t="s">
        <v>101</v>
      </c>
      <c r="E391">
        <v>3</v>
      </c>
      <c r="F391" s="1">
        <v>17.03</v>
      </c>
      <c r="G391">
        <v>0</v>
      </c>
      <c r="H391" s="1">
        <v>0</v>
      </c>
      <c r="I391" s="1">
        <v>0</v>
      </c>
      <c r="J391" s="1">
        <v>17.03</v>
      </c>
      <c r="K391" s="1">
        <v>1.72</v>
      </c>
      <c r="L391" s="1">
        <v>18.75</v>
      </c>
      <c r="M391">
        <v>3</v>
      </c>
    </row>
    <row r="392" spans="1:13" x14ac:dyDescent="0.2">
      <c r="A392" t="s">
        <v>532</v>
      </c>
      <c r="B392" t="s">
        <v>14</v>
      </c>
      <c r="C392">
        <v>9369900075930</v>
      </c>
      <c r="D392" t="s">
        <v>101</v>
      </c>
      <c r="E392">
        <v>3</v>
      </c>
      <c r="F392" s="1">
        <v>20.71</v>
      </c>
      <c r="G392">
        <v>0</v>
      </c>
      <c r="H392" s="1">
        <v>0</v>
      </c>
      <c r="I392" s="1">
        <v>-3</v>
      </c>
      <c r="J392" s="1">
        <v>17.71</v>
      </c>
      <c r="K392" s="1">
        <v>1.79</v>
      </c>
      <c r="L392" s="1">
        <v>19.5</v>
      </c>
      <c r="M392">
        <v>3</v>
      </c>
    </row>
    <row r="393" spans="1:13" x14ac:dyDescent="0.2">
      <c r="A393" t="s">
        <v>1061</v>
      </c>
      <c r="B393" t="s">
        <v>14</v>
      </c>
      <c r="C393">
        <v>9413000050547</v>
      </c>
      <c r="D393" t="s">
        <v>101</v>
      </c>
      <c r="E393">
        <v>1</v>
      </c>
      <c r="F393" s="1">
        <v>27</v>
      </c>
      <c r="G393">
        <v>0</v>
      </c>
      <c r="H393" s="1">
        <v>0</v>
      </c>
      <c r="I393" s="1">
        <v>0</v>
      </c>
      <c r="J393" s="1">
        <v>27</v>
      </c>
      <c r="K393" s="1">
        <v>0</v>
      </c>
      <c r="L393" s="1">
        <v>27</v>
      </c>
      <c r="M393">
        <v>1</v>
      </c>
    </row>
    <row r="394" spans="1:13" x14ac:dyDescent="0.2">
      <c r="A394" t="s">
        <v>533</v>
      </c>
      <c r="B394" t="s">
        <v>14</v>
      </c>
      <c r="C394">
        <v>9369998327379</v>
      </c>
      <c r="D394" t="s">
        <v>101</v>
      </c>
      <c r="E394">
        <v>4</v>
      </c>
      <c r="F394" s="1">
        <v>24.52</v>
      </c>
      <c r="G394">
        <v>0</v>
      </c>
      <c r="H394" s="1">
        <v>0</v>
      </c>
      <c r="I394" s="1">
        <v>-2.0099999999999998</v>
      </c>
      <c r="J394" s="1">
        <v>22.51</v>
      </c>
      <c r="K394" s="1">
        <v>2.2799999999999998</v>
      </c>
      <c r="L394" s="1">
        <v>24.79</v>
      </c>
      <c r="M394">
        <v>4</v>
      </c>
    </row>
    <row r="395" spans="1:13" x14ac:dyDescent="0.2">
      <c r="A395" t="s">
        <v>534</v>
      </c>
      <c r="B395" t="s">
        <v>14</v>
      </c>
      <c r="C395">
        <v>9369998097111</v>
      </c>
      <c r="D395" t="s">
        <v>101</v>
      </c>
      <c r="E395">
        <v>2</v>
      </c>
      <c r="F395" s="1">
        <v>12.17</v>
      </c>
      <c r="G395">
        <v>0</v>
      </c>
      <c r="H395" s="1">
        <v>0</v>
      </c>
      <c r="I395" s="1">
        <v>0</v>
      </c>
      <c r="J395" s="1">
        <v>12.17</v>
      </c>
      <c r="K395" s="1">
        <v>1.23</v>
      </c>
      <c r="L395" s="1">
        <v>13.4</v>
      </c>
      <c r="M395">
        <v>2</v>
      </c>
    </row>
    <row r="396" spans="1:13" x14ac:dyDescent="0.2">
      <c r="A396" t="s">
        <v>535</v>
      </c>
      <c r="B396" t="s">
        <v>14</v>
      </c>
      <c r="C396">
        <v>9369998158102</v>
      </c>
      <c r="D396" t="s">
        <v>101</v>
      </c>
      <c r="E396">
        <v>2</v>
      </c>
      <c r="F396" s="1">
        <v>12.18</v>
      </c>
      <c r="G396">
        <v>0</v>
      </c>
      <c r="H396" s="1">
        <v>0</v>
      </c>
      <c r="I396" s="1">
        <v>0</v>
      </c>
      <c r="J396" s="1">
        <v>12.18</v>
      </c>
      <c r="K396" s="1">
        <v>1.22</v>
      </c>
      <c r="L396" s="1">
        <v>13.4</v>
      </c>
      <c r="M396">
        <v>2</v>
      </c>
    </row>
    <row r="397" spans="1:13" x14ac:dyDescent="0.2">
      <c r="A397" t="s">
        <v>805</v>
      </c>
      <c r="B397" t="s">
        <v>14</v>
      </c>
      <c r="C397">
        <v>9369998238903</v>
      </c>
      <c r="D397" t="s">
        <v>101</v>
      </c>
      <c r="E397">
        <v>6</v>
      </c>
      <c r="F397" s="1">
        <v>36.65</v>
      </c>
      <c r="G397">
        <v>0</v>
      </c>
      <c r="H397" s="1">
        <v>0</v>
      </c>
      <c r="I397" s="1">
        <v>-1.61</v>
      </c>
      <c r="J397" s="1">
        <v>35.04</v>
      </c>
      <c r="K397" s="1">
        <v>3.55</v>
      </c>
      <c r="L397" s="1">
        <v>38.590000000000003</v>
      </c>
      <c r="M397">
        <v>6</v>
      </c>
    </row>
    <row r="398" spans="1:13" x14ac:dyDescent="0.2">
      <c r="A398" t="s">
        <v>106</v>
      </c>
      <c r="B398" t="s">
        <v>14</v>
      </c>
      <c r="C398">
        <v>9369998240739</v>
      </c>
      <c r="D398" t="s">
        <v>101</v>
      </c>
      <c r="E398">
        <v>53</v>
      </c>
      <c r="F398" s="1">
        <v>268.48</v>
      </c>
      <c r="G398">
        <v>0</v>
      </c>
      <c r="H398" s="1">
        <v>0</v>
      </c>
      <c r="I398" s="1">
        <v>-40.700000000000003</v>
      </c>
      <c r="J398" s="1">
        <v>227.78</v>
      </c>
      <c r="K398" s="1">
        <v>23.02</v>
      </c>
      <c r="L398" s="1">
        <v>250.8</v>
      </c>
      <c r="M398">
        <v>53</v>
      </c>
    </row>
    <row r="399" spans="1:13" x14ac:dyDescent="0.2">
      <c r="A399" t="s">
        <v>110</v>
      </c>
      <c r="B399" t="s">
        <v>14</v>
      </c>
      <c r="C399">
        <v>9309001347000</v>
      </c>
      <c r="D399" t="s">
        <v>101</v>
      </c>
      <c r="E399">
        <v>34</v>
      </c>
      <c r="F399" s="1">
        <v>170.28</v>
      </c>
      <c r="G399">
        <v>0</v>
      </c>
      <c r="H399" s="1">
        <v>0</v>
      </c>
      <c r="I399" s="1">
        <v>-5</v>
      </c>
      <c r="J399" s="1">
        <v>165.28</v>
      </c>
      <c r="K399" s="1">
        <v>16.72</v>
      </c>
      <c r="L399" s="1">
        <v>182</v>
      </c>
      <c r="M399">
        <v>34</v>
      </c>
    </row>
    <row r="400" spans="1:13" x14ac:dyDescent="0.2">
      <c r="A400" t="s">
        <v>111</v>
      </c>
      <c r="B400" t="s">
        <v>14</v>
      </c>
      <c r="C400">
        <v>9309001347086</v>
      </c>
      <c r="D400" t="s">
        <v>101</v>
      </c>
      <c r="E400">
        <v>28</v>
      </c>
      <c r="F400" s="1">
        <v>139.86000000000001</v>
      </c>
      <c r="G400">
        <v>0</v>
      </c>
      <c r="H400" s="1">
        <v>0</v>
      </c>
      <c r="I400" s="1">
        <v>0</v>
      </c>
      <c r="J400" s="1">
        <v>139.86000000000001</v>
      </c>
      <c r="K400" s="1">
        <v>14.14</v>
      </c>
      <c r="L400" s="1">
        <v>154</v>
      </c>
      <c r="M400">
        <v>28</v>
      </c>
    </row>
    <row r="401" spans="1:13" x14ac:dyDescent="0.2">
      <c r="A401" t="s">
        <v>344</v>
      </c>
      <c r="B401" t="s">
        <v>14</v>
      </c>
      <c r="C401">
        <v>9351775001152</v>
      </c>
      <c r="D401" t="s">
        <v>101</v>
      </c>
      <c r="E401">
        <v>2</v>
      </c>
      <c r="F401" s="1">
        <v>12.29</v>
      </c>
      <c r="G401">
        <v>0</v>
      </c>
      <c r="H401" s="1">
        <v>0</v>
      </c>
      <c r="I401" s="1">
        <v>-4.26</v>
      </c>
      <c r="J401" s="1">
        <v>8.0299999999999994</v>
      </c>
      <c r="K401" s="1">
        <v>0.81</v>
      </c>
      <c r="L401" s="1">
        <v>8.84</v>
      </c>
      <c r="M401">
        <v>2</v>
      </c>
    </row>
    <row r="402" spans="1:13" x14ac:dyDescent="0.2">
      <c r="A402" t="s">
        <v>370</v>
      </c>
      <c r="B402" t="s">
        <v>14</v>
      </c>
      <c r="C402">
        <v>9351775001176</v>
      </c>
      <c r="D402" t="s">
        <v>101</v>
      </c>
      <c r="E402">
        <v>5</v>
      </c>
      <c r="F402" s="1">
        <v>29.75</v>
      </c>
      <c r="G402">
        <v>0</v>
      </c>
      <c r="H402" s="1">
        <v>0</v>
      </c>
      <c r="I402" s="1">
        <v>0</v>
      </c>
      <c r="J402" s="1">
        <v>29.75</v>
      </c>
      <c r="K402" s="1">
        <v>3</v>
      </c>
      <c r="L402" s="1">
        <v>32.75</v>
      </c>
      <c r="M402">
        <v>5</v>
      </c>
    </row>
    <row r="403" spans="1:13" x14ac:dyDescent="0.2">
      <c r="A403" t="s">
        <v>806</v>
      </c>
      <c r="B403" t="s">
        <v>14</v>
      </c>
      <c r="C403">
        <v>9421902090028</v>
      </c>
      <c r="D403" t="s">
        <v>101</v>
      </c>
      <c r="E403">
        <v>1</v>
      </c>
      <c r="F403" s="1">
        <v>5.09</v>
      </c>
      <c r="G403">
        <v>0</v>
      </c>
      <c r="H403" s="1">
        <v>0</v>
      </c>
      <c r="I403" s="1">
        <v>0</v>
      </c>
      <c r="J403" s="1">
        <v>5.09</v>
      </c>
      <c r="K403" s="1">
        <v>0.51</v>
      </c>
      <c r="L403" s="1">
        <v>5.6</v>
      </c>
      <c r="M403">
        <v>1</v>
      </c>
    </row>
    <row r="404" spans="1:13" x14ac:dyDescent="0.2">
      <c r="A404" t="s">
        <v>346</v>
      </c>
      <c r="B404" t="s">
        <v>14</v>
      </c>
      <c r="C404">
        <v>9356887048750</v>
      </c>
      <c r="D404" t="s">
        <v>101</v>
      </c>
      <c r="E404">
        <v>6</v>
      </c>
      <c r="F404" s="1">
        <v>50.94</v>
      </c>
      <c r="G404">
        <v>0</v>
      </c>
      <c r="H404" s="1">
        <v>0</v>
      </c>
      <c r="I404" s="1">
        <v>0</v>
      </c>
      <c r="J404" s="1">
        <v>50.94</v>
      </c>
      <c r="K404" s="1">
        <v>5.16</v>
      </c>
      <c r="L404" s="1">
        <v>56.1</v>
      </c>
      <c r="M404">
        <v>6</v>
      </c>
    </row>
    <row r="405" spans="1:13" x14ac:dyDescent="0.2">
      <c r="A405" t="s">
        <v>536</v>
      </c>
      <c r="B405" t="s">
        <v>14</v>
      </c>
      <c r="C405">
        <v>9356887095754</v>
      </c>
      <c r="D405" t="s">
        <v>101</v>
      </c>
      <c r="E405">
        <v>1</v>
      </c>
      <c r="F405" s="1">
        <v>8.49</v>
      </c>
      <c r="G405">
        <v>0</v>
      </c>
      <c r="H405" s="1">
        <v>0</v>
      </c>
      <c r="I405" s="1">
        <v>0</v>
      </c>
      <c r="J405" s="1">
        <v>8.49</v>
      </c>
      <c r="K405" s="1">
        <v>0.86</v>
      </c>
      <c r="L405" s="1">
        <v>9.35</v>
      </c>
      <c r="M405">
        <v>1</v>
      </c>
    </row>
    <row r="406" spans="1:13" x14ac:dyDescent="0.2">
      <c r="A406" t="s">
        <v>395</v>
      </c>
      <c r="B406" t="s">
        <v>14</v>
      </c>
      <c r="C406">
        <v>9356887072755</v>
      </c>
      <c r="D406" t="s">
        <v>101</v>
      </c>
      <c r="E406">
        <v>4</v>
      </c>
      <c r="F406" s="1">
        <v>33.96</v>
      </c>
      <c r="G406">
        <v>0</v>
      </c>
      <c r="H406" s="1">
        <v>0</v>
      </c>
      <c r="I406" s="1">
        <v>0</v>
      </c>
      <c r="J406" s="1">
        <v>33.96</v>
      </c>
      <c r="K406" s="1">
        <v>3.44</v>
      </c>
      <c r="L406" s="1">
        <v>37.4</v>
      </c>
      <c r="M406">
        <v>4</v>
      </c>
    </row>
    <row r="407" spans="1:13" x14ac:dyDescent="0.2">
      <c r="A407" t="s">
        <v>112</v>
      </c>
      <c r="B407" t="s">
        <v>14</v>
      </c>
      <c r="C407">
        <v>9359663000102</v>
      </c>
      <c r="D407" t="s">
        <v>101</v>
      </c>
      <c r="E407">
        <v>2</v>
      </c>
      <c r="F407" s="1">
        <v>11.9</v>
      </c>
      <c r="G407">
        <v>0</v>
      </c>
      <c r="H407" s="1">
        <v>0</v>
      </c>
      <c r="I407" s="1">
        <v>0</v>
      </c>
      <c r="J407" s="1">
        <v>11.9</v>
      </c>
      <c r="K407" s="1">
        <v>1.2</v>
      </c>
      <c r="L407" s="1">
        <v>13.1</v>
      </c>
      <c r="M407">
        <v>2</v>
      </c>
    </row>
    <row r="408" spans="1:13" x14ac:dyDescent="0.2">
      <c r="A408" t="s">
        <v>113</v>
      </c>
      <c r="B408" t="s">
        <v>14</v>
      </c>
      <c r="C408">
        <v>9359663000119</v>
      </c>
      <c r="D408" t="s">
        <v>101</v>
      </c>
      <c r="E408">
        <v>4</v>
      </c>
      <c r="F408" s="1">
        <v>23.8</v>
      </c>
      <c r="G408">
        <v>0</v>
      </c>
      <c r="H408" s="1">
        <v>0</v>
      </c>
      <c r="I408" s="1">
        <v>0</v>
      </c>
      <c r="J408" s="1">
        <v>23.8</v>
      </c>
      <c r="K408" s="1">
        <v>2.4</v>
      </c>
      <c r="L408" s="1">
        <v>26.2</v>
      </c>
      <c r="M408">
        <v>4</v>
      </c>
    </row>
    <row r="409" spans="1:13" x14ac:dyDescent="0.2">
      <c r="A409" t="s">
        <v>655</v>
      </c>
      <c r="B409" t="s">
        <v>14</v>
      </c>
      <c r="C409">
        <v>9369999341770</v>
      </c>
      <c r="D409" t="s">
        <v>101</v>
      </c>
      <c r="E409">
        <v>7</v>
      </c>
      <c r="F409" s="1">
        <v>42</v>
      </c>
      <c r="G409">
        <v>0</v>
      </c>
      <c r="H409" s="1">
        <v>0</v>
      </c>
      <c r="I409" s="1">
        <v>-0.64</v>
      </c>
      <c r="J409" s="1">
        <v>41.36</v>
      </c>
      <c r="K409" s="1">
        <v>4.2</v>
      </c>
      <c r="L409" s="1">
        <v>45.56</v>
      </c>
      <c r="M409">
        <v>7</v>
      </c>
    </row>
    <row r="410" spans="1:13" x14ac:dyDescent="0.2">
      <c r="A410" t="s">
        <v>540</v>
      </c>
      <c r="B410" t="s">
        <v>14</v>
      </c>
      <c r="C410">
        <v>9369998265565</v>
      </c>
      <c r="D410" t="s">
        <v>101</v>
      </c>
      <c r="E410">
        <v>5</v>
      </c>
      <c r="F410" s="1">
        <v>30.65</v>
      </c>
      <c r="G410">
        <v>0</v>
      </c>
      <c r="H410" s="1">
        <v>0</v>
      </c>
      <c r="I410" s="1">
        <v>0</v>
      </c>
      <c r="J410" s="1">
        <v>30.65</v>
      </c>
      <c r="K410" s="1">
        <v>3.1</v>
      </c>
      <c r="L410" s="1">
        <v>33.75</v>
      </c>
      <c r="M410">
        <v>5</v>
      </c>
    </row>
    <row r="411" spans="1:13" x14ac:dyDescent="0.2">
      <c r="A411" t="s">
        <v>541</v>
      </c>
      <c r="B411" t="s">
        <v>14</v>
      </c>
      <c r="C411">
        <v>9369998203819</v>
      </c>
      <c r="D411" t="s">
        <v>101</v>
      </c>
      <c r="E411">
        <v>7</v>
      </c>
      <c r="F411" s="1">
        <v>42.91</v>
      </c>
      <c r="G411">
        <v>0</v>
      </c>
      <c r="H411" s="1">
        <v>0</v>
      </c>
      <c r="I411" s="1">
        <v>0</v>
      </c>
      <c r="J411" s="1">
        <v>42.91</v>
      </c>
      <c r="K411" s="1">
        <v>4.34</v>
      </c>
      <c r="L411" s="1">
        <v>47.25</v>
      </c>
      <c r="M411">
        <v>7</v>
      </c>
    </row>
    <row r="412" spans="1:13" x14ac:dyDescent="0.2">
      <c r="A412" t="s">
        <v>542</v>
      </c>
      <c r="B412" t="s">
        <v>14</v>
      </c>
      <c r="C412">
        <v>9309001147037</v>
      </c>
      <c r="D412" t="s">
        <v>101</v>
      </c>
      <c r="E412">
        <v>4</v>
      </c>
      <c r="F412" s="1">
        <v>24.52</v>
      </c>
      <c r="G412">
        <v>0</v>
      </c>
      <c r="H412" s="1">
        <v>0</v>
      </c>
      <c r="I412" s="1">
        <v>0</v>
      </c>
      <c r="J412" s="1">
        <v>24.52</v>
      </c>
      <c r="K412" s="1">
        <v>2.48</v>
      </c>
      <c r="L412" s="1">
        <v>27</v>
      </c>
      <c r="M412">
        <v>4</v>
      </c>
    </row>
    <row r="413" spans="1:13" x14ac:dyDescent="0.2">
      <c r="A413" t="s">
        <v>462</v>
      </c>
      <c r="B413" t="s">
        <v>14</v>
      </c>
      <c r="C413">
        <v>9369998348640</v>
      </c>
      <c r="D413" t="s">
        <v>101</v>
      </c>
      <c r="E413">
        <v>5</v>
      </c>
      <c r="F413" s="1">
        <v>30.65</v>
      </c>
      <c r="G413">
        <v>0</v>
      </c>
      <c r="H413" s="1">
        <v>0</v>
      </c>
      <c r="I413" s="1">
        <v>0</v>
      </c>
      <c r="J413" s="1">
        <v>30.65</v>
      </c>
      <c r="K413" s="1">
        <v>3.1</v>
      </c>
      <c r="L413" s="1">
        <v>33.75</v>
      </c>
      <c r="M413">
        <v>5</v>
      </c>
    </row>
    <row r="414" spans="1:13" x14ac:dyDescent="0.2">
      <c r="A414" t="s">
        <v>347</v>
      </c>
      <c r="B414" t="s">
        <v>14</v>
      </c>
      <c r="C414">
        <v>9359084000156</v>
      </c>
      <c r="D414" t="s">
        <v>101</v>
      </c>
      <c r="E414">
        <v>1</v>
      </c>
      <c r="F414" s="1">
        <v>3.72</v>
      </c>
      <c r="G414">
        <v>0</v>
      </c>
      <c r="H414" s="1">
        <v>0</v>
      </c>
      <c r="I414" s="1">
        <v>0</v>
      </c>
      <c r="J414" s="1">
        <v>3.72</v>
      </c>
      <c r="K414" s="1">
        <v>0.38</v>
      </c>
      <c r="L414" s="1">
        <v>4.0999999999999996</v>
      </c>
      <c r="M414">
        <v>1</v>
      </c>
    </row>
    <row r="415" spans="1:13" x14ac:dyDescent="0.2">
      <c r="A415" t="s">
        <v>543</v>
      </c>
      <c r="B415" t="s">
        <v>14</v>
      </c>
      <c r="C415">
        <v>9359084000170</v>
      </c>
      <c r="D415" t="s">
        <v>101</v>
      </c>
      <c r="E415">
        <v>4</v>
      </c>
      <c r="F415" s="1">
        <v>14.88</v>
      </c>
      <c r="G415">
        <v>0</v>
      </c>
      <c r="H415" s="1">
        <v>0</v>
      </c>
      <c r="I415" s="1">
        <v>0</v>
      </c>
      <c r="J415" s="1">
        <v>14.88</v>
      </c>
      <c r="K415" s="1">
        <v>1.52</v>
      </c>
      <c r="L415" s="1">
        <v>16.399999999999999</v>
      </c>
      <c r="M415">
        <v>4</v>
      </c>
    </row>
    <row r="416" spans="1:13" x14ac:dyDescent="0.2">
      <c r="A416" t="s">
        <v>348</v>
      </c>
      <c r="B416" t="s">
        <v>14</v>
      </c>
      <c r="C416">
        <v>9359084000385</v>
      </c>
      <c r="D416" t="s">
        <v>101</v>
      </c>
      <c r="E416">
        <v>7</v>
      </c>
      <c r="F416" s="1">
        <v>28.62</v>
      </c>
      <c r="G416">
        <v>0</v>
      </c>
      <c r="H416" s="1">
        <v>0</v>
      </c>
      <c r="I416" s="1">
        <v>0</v>
      </c>
      <c r="J416" s="1">
        <v>28.62</v>
      </c>
      <c r="K416" s="1">
        <v>2.88</v>
      </c>
      <c r="L416" s="1">
        <v>31.5</v>
      </c>
      <c r="M416">
        <v>7</v>
      </c>
    </row>
    <row r="417" spans="1:13" x14ac:dyDescent="0.2">
      <c r="A417" t="s">
        <v>1062</v>
      </c>
      <c r="B417" t="s">
        <v>14</v>
      </c>
      <c r="C417">
        <v>9369900016568</v>
      </c>
      <c r="D417" t="s">
        <v>101</v>
      </c>
      <c r="E417">
        <v>1</v>
      </c>
      <c r="F417" s="1">
        <v>40.799999999999997</v>
      </c>
      <c r="G417">
        <v>0</v>
      </c>
      <c r="H417" s="1">
        <v>0</v>
      </c>
      <c r="I417" s="1">
        <v>0</v>
      </c>
      <c r="J417" s="1">
        <v>40.799999999999997</v>
      </c>
      <c r="K417" s="1">
        <v>0</v>
      </c>
      <c r="L417" s="1">
        <v>40.799999999999997</v>
      </c>
      <c r="M417">
        <v>1</v>
      </c>
    </row>
    <row r="418" spans="1:13" x14ac:dyDescent="0.2">
      <c r="A418" t="s">
        <v>657</v>
      </c>
      <c r="B418" t="s">
        <v>14</v>
      </c>
      <c r="C418">
        <v>725806350899</v>
      </c>
      <c r="D418" t="s">
        <v>101</v>
      </c>
      <c r="E418">
        <v>1</v>
      </c>
      <c r="F418" s="1">
        <v>6.02</v>
      </c>
      <c r="G418">
        <v>0</v>
      </c>
      <c r="H418" s="1">
        <v>0</v>
      </c>
      <c r="I418" s="1">
        <v>-1.3</v>
      </c>
      <c r="J418" s="1">
        <v>4.72</v>
      </c>
      <c r="K418" s="1">
        <v>0.48</v>
      </c>
      <c r="L418" s="1">
        <v>5.2</v>
      </c>
      <c r="M418">
        <v>1</v>
      </c>
    </row>
    <row r="419" spans="1:13" x14ac:dyDescent="0.2">
      <c r="A419" t="s">
        <v>659</v>
      </c>
      <c r="B419" t="s">
        <v>14</v>
      </c>
      <c r="C419">
        <v>754523531380</v>
      </c>
      <c r="D419" t="s">
        <v>101</v>
      </c>
      <c r="E419">
        <v>2</v>
      </c>
      <c r="F419" s="1">
        <v>11.9</v>
      </c>
      <c r="G419">
        <v>0</v>
      </c>
      <c r="H419" s="1">
        <v>0</v>
      </c>
      <c r="I419" s="1">
        <v>0</v>
      </c>
      <c r="J419" s="1">
        <v>11.9</v>
      </c>
      <c r="K419" s="1">
        <v>0</v>
      </c>
      <c r="L419" s="1">
        <v>11.9</v>
      </c>
      <c r="M419">
        <v>2</v>
      </c>
    </row>
    <row r="420" spans="1:13" x14ac:dyDescent="0.2">
      <c r="A420" t="s">
        <v>807</v>
      </c>
      <c r="B420" t="s">
        <v>14</v>
      </c>
      <c r="C420">
        <v>9349622000281</v>
      </c>
      <c r="D420" t="s">
        <v>101</v>
      </c>
      <c r="E420">
        <v>4</v>
      </c>
      <c r="F420" s="1">
        <v>40.6</v>
      </c>
      <c r="G420">
        <v>0</v>
      </c>
      <c r="H420" s="1">
        <v>0</v>
      </c>
      <c r="I420" s="1">
        <v>-40.6</v>
      </c>
      <c r="J420" s="1">
        <v>0</v>
      </c>
      <c r="K420" s="1">
        <v>0</v>
      </c>
      <c r="L420" s="1">
        <v>0</v>
      </c>
      <c r="M420">
        <v>4</v>
      </c>
    </row>
    <row r="421" spans="1:13" x14ac:dyDescent="0.2">
      <c r="A421" t="s">
        <v>660</v>
      </c>
      <c r="B421" t="s">
        <v>14</v>
      </c>
      <c r="C421">
        <v>5060847270009</v>
      </c>
      <c r="D421" t="s">
        <v>101</v>
      </c>
      <c r="E421">
        <v>1</v>
      </c>
      <c r="F421" s="1">
        <v>12.92</v>
      </c>
      <c r="G421">
        <v>0</v>
      </c>
      <c r="H421" s="1">
        <v>0</v>
      </c>
      <c r="I421" s="1">
        <v>-2.7</v>
      </c>
      <c r="J421" s="1">
        <v>10.220000000000001</v>
      </c>
      <c r="K421" s="1">
        <v>1.03</v>
      </c>
      <c r="L421" s="1">
        <v>11.25</v>
      </c>
      <c r="M421">
        <v>1</v>
      </c>
    </row>
    <row r="422" spans="1:13" x14ac:dyDescent="0.2">
      <c r="A422" t="s">
        <v>298</v>
      </c>
      <c r="B422" t="s">
        <v>14</v>
      </c>
      <c r="C422">
        <v>9421901214302</v>
      </c>
      <c r="D422" t="s">
        <v>101</v>
      </c>
      <c r="E422">
        <v>6</v>
      </c>
      <c r="F422" s="1">
        <v>41.4</v>
      </c>
      <c r="G422">
        <v>0</v>
      </c>
      <c r="H422" s="1">
        <v>0</v>
      </c>
      <c r="I422" s="1">
        <v>0</v>
      </c>
      <c r="J422" s="1">
        <v>41.4</v>
      </c>
      <c r="K422" s="1">
        <v>0</v>
      </c>
      <c r="L422" s="1">
        <v>41.4</v>
      </c>
      <c r="M422">
        <v>6</v>
      </c>
    </row>
    <row r="423" spans="1:13" x14ac:dyDescent="0.2">
      <c r="A423" t="s">
        <v>312</v>
      </c>
      <c r="B423" t="s">
        <v>14</v>
      </c>
      <c r="C423">
        <v>9421901214128</v>
      </c>
      <c r="D423" t="s">
        <v>101</v>
      </c>
      <c r="E423">
        <v>3</v>
      </c>
      <c r="F423" s="1">
        <v>17.399999999999999</v>
      </c>
      <c r="G423">
        <v>0</v>
      </c>
      <c r="H423" s="1">
        <v>0</v>
      </c>
      <c r="I423" s="1">
        <v>0</v>
      </c>
      <c r="J423" s="1">
        <v>17.399999999999999</v>
      </c>
      <c r="K423" s="1">
        <v>0</v>
      </c>
      <c r="L423" s="1">
        <v>17.399999999999999</v>
      </c>
      <c r="M423">
        <v>3</v>
      </c>
    </row>
    <row r="424" spans="1:13" x14ac:dyDescent="0.2">
      <c r="A424" t="s">
        <v>808</v>
      </c>
      <c r="B424" t="s">
        <v>14</v>
      </c>
      <c r="C424">
        <v>9421901214401</v>
      </c>
      <c r="D424" t="s">
        <v>101</v>
      </c>
      <c r="E424">
        <v>5</v>
      </c>
      <c r="F424" s="1">
        <v>34.5</v>
      </c>
      <c r="G424">
        <v>0</v>
      </c>
      <c r="H424" s="1">
        <v>0</v>
      </c>
      <c r="I424" s="1">
        <v>0</v>
      </c>
      <c r="J424" s="1">
        <v>34.5</v>
      </c>
      <c r="K424" s="1">
        <v>0</v>
      </c>
      <c r="L424" s="1">
        <v>34.5</v>
      </c>
      <c r="M424">
        <v>5</v>
      </c>
    </row>
    <row r="425" spans="1:13" x14ac:dyDescent="0.2">
      <c r="A425" t="s">
        <v>809</v>
      </c>
      <c r="B425" t="s">
        <v>14</v>
      </c>
      <c r="C425">
        <v>9421901214326</v>
      </c>
      <c r="D425" t="s">
        <v>101</v>
      </c>
      <c r="E425">
        <v>7</v>
      </c>
      <c r="F425" s="1">
        <v>48.3</v>
      </c>
      <c r="G425">
        <v>0</v>
      </c>
      <c r="H425" s="1">
        <v>0</v>
      </c>
      <c r="I425" s="1">
        <v>-1.38</v>
      </c>
      <c r="J425" s="1">
        <v>46.92</v>
      </c>
      <c r="K425" s="1">
        <v>0</v>
      </c>
      <c r="L425" s="1">
        <v>46.92</v>
      </c>
      <c r="M425">
        <v>7</v>
      </c>
    </row>
    <row r="426" spans="1:13" x14ac:dyDescent="0.2">
      <c r="A426" t="s">
        <v>372</v>
      </c>
      <c r="B426" t="s">
        <v>14</v>
      </c>
      <c r="C426">
        <v>9421901214210</v>
      </c>
      <c r="D426" t="s">
        <v>101</v>
      </c>
      <c r="E426">
        <v>5</v>
      </c>
      <c r="F426" s="1">
        <v>22.5</v>
      </c>
      <c r="G426">
        <v>0</v>
      </c>
      <c r="H426" s="1">
        <v>0</v>
      </c>
      <c r="I426" s="1">
        <v>0</v>
      </c>
      <c r="J426" s="1">
        <v>22.5</v>
      </c>
      <c r="K426" s="1">
        <v>2.25</v>
      </c>
      <c r="L426" s="1">
        <v>24.75</v>
      </c>
      <c r="M426">
        <v>5</v>
      </c>
    </row>
    <row r="427" spans="1:13" x14ac:dyDescent="0.2">
      <c r="A427" t="s">
        <v>661</v>
      </c>
      <c r="B427" t="s">
        <v>14</v>
      </c>
      <c r="C427">
        <v>9421901214203</v>
      </c>
      <c r="D427" t="s">
        <v>101</v>
      </c>
      <c r="E427">
        <v>3</v>
      </c>
      <c r="F427" s="1">
        <v>15.81</v>
      </c>
      <c r="G427">
        <v>0</v>
      </c>
      <c r="H427" s="1">
        <v>0</v>
      </c>
      <c r="I427" s="1">
        <v>0</v>
      </c>
      <c r="J427" s="1">
        <v>15.81</v>
      </c>
      <c r="K427" s="1">
        <v>1.59</v>
      </c>
      <c r="L427" s="1">
        <v>17.399999999999999</v>
      </c>
      <c r="M427">
        <v>3</v>
      </c>
    </row>
    <row r="428" spans="1:13" x14ac:dyDescent="0.2">
      <c r="A428" t="s">
        <v>463</v>
      </c>
      <c r="B428" t="s">
        <v>14</v>
      </c>
      <c r="C428">
        <v>9353626000130</v>
      </c>
      <c r="D428" t="s">
        <v>101</v>
      </c>
      <c r="E428">
        <v>11</v>
      </c>
      <c r="F428" s="1">
        <v>72.05</v>
      </c>
      <c r="G428">
        <v>0</v>
      </c>
      <c r="H428" s="1">
        <v>0</v>
      </c>
      <c r="I428" s="1">
        <v>0</v>
      </c>
      <c r="J428" s="1">
        <v>72.05</v>
      </c>
      <c r="K428" s="1">
        <v>0</v>
      </c>
      <c r="L428" s="1">
        <v>72.05</v>
      </c>
      <c r="M428">
        <v>11</v>
      </c>
    </row>
    <row r="429" spans="1:13" x14ac:dyDescent="0.2">
      <c r="A429" t="s">
        <v>464</v>
      </c>
      <c r="B429" t="s">
        <v>14</v>
      </c>
      <c r="C429">
        <v>9353626000178</v>
      </c>
      <c r="D429" t="s">
        <v>101</v>
      </c>
      <c r="E429">
        <v>4</v>
      </c>
      <c r="F429" s="1">
        <v>15.6</v>
      </c>
      <c r="G429">
        <v>0</v>
      </c>
      <c r="H429" s="1">
        <v>0</v>
      </c>
      <c r="I429" s="1">
        <v>0</v>
      </c>
      <c r="J429" s="1">
        <v>15.6</v>
      </c>
      <c r="K429" s="1">
        <v>0</v>
      </c>
      <c r="L429" s="1">
        <v>15.6</v>
      </c>
      <c r="M429">
        <v>4</v>
      </c>
    </row>
    <row r="430" spans="1:13" x14ac:dyDescent="0.2">
      <c r="A430" t="s">
        <v>465</v>
      </c>
      <c r="B430" t="s">
        <v>14</v>
      </c>
      <c r="C430">
        <v>9353626000192</v>
      </c>
      <c r="D430" t="s">
        <v>101</v>
      </c>
      <c r="E430">
        <v>5</v>
      </c>
      <c r="F430" s="1">
        <v>19.5</v>
      </c>
      <c r="G430">
        <v>0</v>
      </c>
      <c r="H430" s="1">
        <v>0</v>
      </c>
      <c r="I430" s="1">
        <v>0</v>
      </c>
      <c r="J430" s="1">
        <v>19.5</v>
      </c>
      <c r="K430" s="1">
        <v>0</v>
      </c>
      <c r="L430" s="1">
        <v>19.5</v>
      </c>
      <c r="M430">
        <v>5</v>
      </c>
    </row>
    <row r="431" spans="1:13" x14ac:dyDescent="0.2">
      <c r="A431" t="s">
        <v>466</v>
      </c>
      <c r="B431" t="s">
        <v>14</v>
      </c>
      <c r="C431">
        <v>9353626000215</v>
      </c>
      <c r="D431" t="s">
        <v>101</v>
      </c>
      <c r="E431">
        <v>6</v>
      </c>
      <c r="F431" s="1">
        <v>23.4</v>
      </c>
      <c r="G431">
        <v>0</v>
      </c>
      <c r="H431" s="1">
        <v>0</v>
      </c>
      <c r="I431" s="1">
        <v>0</v>
      </c>
      <c r="J431" s="1">
        <v>23.4</v>
      </c>
      <c r="K431" s="1">
        <v>0</v>
      </c>
      <c r="L431" s="1">
        <v>23.4</v>
      </c>
      <c r="M431">
        <v>6</v>
      </c>
    </row>
    <row r="432" spans="1:13" x14ac:dyDescent="0.2">
      <c r="A432" t="s">
        <v>468</v>
      </c>
      <c r="B432" t="s">
        <v>14</v>
      </c>
      <c r="C432">
        <v>9353626000260</v>
      </c>
      <c r="D432" t="s">
        <v>101</v>
      </c>
      <c r="E432">
        <v>6</v>
      </c>
      <c r="F432" s="1">
        <v>23.4</v>
      </c>
      <c r="G432">
        <v>0</v>
      </c>
      <c r="H432" s="1">
        <v>0</v>
      </c>
      <c r="I432" s="1">
        <v>0</v>
      </c>
      <c r="J432" s="1">
        <v>23.4</v>
      </c>
      <c r="K432" s="1">
        <v>0</v>
      </c>
      <c r="L432" s="1">
        <v>23.4</v>
      </c>
      <c r="M432">
        <v>6</v>
      </c>
    </row>
    <row r="433" spans="1:13" x14ac:dyDescent="0.2">
      <c r="A433" t="s">
        <v>1063</v>
      </c>
      <c r="B433" t="s">
        <v>14</v>
      </c>
      <c r="C433">
        <v>769807248250</v>
      </c>
      <c r="D433" t="s">
        <v>101</v>
      </c>
      <c r="E433">
        <v>1</v>
      </c>
      <c r="F433" s="1">
        <v>3.72</v>
      </c>
      <c r="G433">
        <v>-1</v>
      </c>
      <c r="H433" s="1">
        <v>-3.72</v>
      </c>
      <c r="I433" s="1">
        <v>0</v>
      </c>
      <c r="J433" s="1">
        <v>0</v>
      </c>
      <c r="K433" s="1">
        <v>0</v>
      </c>
      <c r="L433" s="1">
        <v>0</v>
      </c>
      <c r="M433">
        <v>1</v>
      </c>
    </row>
    <row r="434" spans="1:13" x14ac:dyDescent="0.2">
      <c r="A434" t="s">
        <v>810</v>
      </c>
      <c r="B434" t="s">
        <v>14</v>
      </c>
      <c r="C434">
        <v>734027989214</v>
      </c>
      <c r="D434" t="s">
        <v>101</v>
      </c>
      <c r="E434">
        <v>6</v>
      </c>
      <c r="F434" s="1">
        <v>32.04</v>
      </c>
      <c r="G434">
        <v>0</v>
      </c>
      <c r="H434" s="1">
        <v>0</v>
      </c>
      <c r="I434" s="1">
        <v>0</v>
      </c>
      <c r="J434" s="1">
        <v>32.04</v>
      </c>
      <c r="K434" s="1">
        <v>3.26</v>
      </c>
      <c r="L434" s="1">
        <v>35.299999999999997</v>
      </c>
      <c r="M434">
        <v>6</v>
      </c>
    </row>
    <row r="435" spans="1:13" x14ac:dyDescent="0.2">
      <c r="A435" t="s">
        <v>811</v>
      </c>
      <c r="B435" t="s">
        <v>14</v>
      </c>
      <c r="C435">
        <v>734027989221</v>
      </c>
      <c r="D435" t="s">
        <v>101</v>
      </c>
      <c r="E435">
        <v>5</v>
      </c>
      <c r="F435" s="1">
        <v>26.96</v>
      </c>
      <c r="G435">
        <v>0</v>
      </c>
      <c r="H435" s="1">
        <v>0</v>
      </c>
      <c r="I435" s="1">
        <v>-0.32</v>
      </c>
      <c r="J435" s="1">
        <v>26.64</v>
      </c>
      <c r="K435" s="1">
        <v>2.69</v>
      </c>
      <c r="L435" s="1">
        <v>29.33</v>
      </c>
      <c r="M435">
        <v>5</v>
      </c>
    </row>
    <row r="436" spans="1:13" x14ac:dyDescent="0.2">
      <c r="A436" t="s">
        <v>114</v>
      </c>
      <c r="B436" t="s">
        <v>14</v>
      </c>
      <c r="C436">
        <v>8851013764494</v>
      </c>
      <c r="D436" t="s">
        <v>101</v>
      </c>
      <c r="E436">
        <v>12</v>
      </c>
      <c r="F436" s="1">
        <v>67.8</v>
      </c>
      <c r="G436">
        <v>0</v>
      </c>
      <c r="H436" s="1">
        <v>0</v>
      </c>
      <c r="I436" s="1">
        <v>0</v>
      </c>
      <c r="J436" s="1">
        <v>67.8</v>
      </c>
      <c r="K436" s="1">
        <v>0</v>
      </c>
      <c r="L436" s="1">
        <v>67.8</v>
      </c>
      <c r="M436">
        <v>12</v>
      </c>
    </row>
    <row r="437" spans="1:13" x14ac:dyDescent="0.2">
      <c r="A437" t="s">
        <v>1064</v>
      </c>
      <c r="B437" t="s">
        <v>14</v>
      </c>
      <c r="C437">
        <v>140347082540</v>
      </c>
      <c r="D437" t="s">
        <v>101</v>
      </c>
      <c r="E437">
        <v>1</v>
      </c>
      <c r="F437" s="1">
        <v>7.36</v>
      </c>
      <c r="G437">
        <v>0</v>
      </c>
      <c r="H437" s="1">
        <v>0</v>
      </c>
      <c r="I437" s="1">
        <v>0</v>
      </c>
      <c r="J437" s="1">
        <v>7.36</v>
      </c>
      <c r="K437" s="1">
        <v>0.74</v>
      </c>
      <c r="L437" s="1">
        <v>8.1</v>
      </c>
      <c r="M437">
        <v>1</v>
      </c>
    </row>
    <row r="438" spans="1:13" x14ac:dyDescent="0.2">
      <c r="A438" t="s">
        <v>812</v>
      </c>
      <c r="B438" t="s">
        <v>14</v>
      </c>
      <c r="C438">
        <v>9369998504893</v>
      </c>
      <c r="D438" t="s">
        <v>101</v>
      </c>
      <c r="E438">
        <v>3</v>
      </c>
      <c r="F438" s="1">
        <v>18.170000000000002</v>
      </c>
      <c r="G438">
        <v>0</v>
      </c>
      <c r="H438" s="1">
        <v>0</v>
      </c>
      <c r="I438" s="1">
        <v>-5</v>
      </c>
      <c r="J438" s="1">
        <v>13.17</v>
      </c>
      <c r="K438" s="1">
        <v>1.33</v>
      </c>
      <c r="L438" s="1">
        <v>14.5</v>
      </c>
      <c r="M438">
        <v>3</v>
      </c>
    </row>
    <row r="439" spans="1:13" x14ac:dyDescent="0.2">
      <c r="A439" t="s">
        <v>285</v>
      </c>
      <c r="B439" t="s">
        <v>14</v>
      </c>
      <c r="C439">
        <v>9369998352142</v>
      </c>
      <c r="D439" t="s">
        <v>101</v>
      </c>
      <c r="E439">
        <v>1</v>
      </c>
      <c r="F439" s="1">
        <v>5.91</v>
      </c>
      <c r="G439">
        <v>0</v>
      </c>
      <c r="H439" s="1">
        <v>0</v>
      </c>
      <c r="I439" s="1">
        <v>0</v>
      </c>
      <c r="J439" s="1">
        <v>5.91</v>
      </c>
      <c r="K439" s="1">
        <v>0.59</v>
      </c>
      <c r="L439" s="1">
        <v>6.5</v>
      </c>
      <c r="M439">
        <v>1</v>
      </c>
    </row>
    <row r="440" spans="1:13" x14ac:dyDescent="0.2">
      <c r="A440" t="s">
        <v>544</v>
      </c>
      <c r="B440" t="s">
        <v>14</v>
      </c>
      <c r="C440">
        <v>9369900080750</v>
      </c>
      <c r="D440" t="s">
        <v>101</v>
      </c>
      <c r="E440">
        <v>4</v>
      </c>
      <c r="F440" s="1">
        <v>23.74</v>
      </c>
      <c r="G440">
        <v>0</v>
      </c>
      <c r="H440" s="1">
        <v>0</v>
      </c>
      <c r="I440" s="1">
        <v>-1.45</v>
      </c>
      <c r="J440" s="1">
        <v>22.29</v>
      </c>
      <c r="K440" s="1">
        <v>2.2599999999999998</v>
      </c>
      <c r="L440" s="1">
        <v>24.55</v>
      </c>
      <c r="M440">
        <v>4</v>
      </c>
    </row>
    <row r="441" spans="1:13" x14ac:dyDescent="0.2">
      <c r="A441" t="s">
        <v>545</v>
      </c>
      <c r="B441" t="s">
        <v>14</v>
      </c>
      <c r="C441">
        <v>2099000</v>
      </c>
      <c r="D441" t="s">
        <v>101</v>
      </c>
      <c r="E441">
        <v>2</v>
      </c>
      <c r="F441" s="1">
        <v>12.04</v>
      </c>
      <c r="G441">
        <v>0</v>
      </c>
      <c r="H441" s="1">
        <v>0</v>
      </c>
      <c r="I441" s="1">
        <v>-2.6</v>
      </c>
      <c r="J441" s="1">
        <v>9.44</v>
      </c>
      <c r="K441" s="1">
        <v>0.96</v>
      </c>
      <c r="L441" s="1">
        <v>10.4</v>
      </c>
      <c r="M441">
        <v>2</v>
      </c>
    </row>
    <row r="442" spans="1:13" x14ac:dyDescent="0.2">
      <c r="A442" t="s">
        <v>469</v>
      </c>
      <c r="B442" t="s">
        <v>14</v>
      </c>
      <c r="C442">
        <v>80687433261</v>
      </c>
      <c r="D442" t="s">
        <v>115</v>
      </c>
      <c r="E442">
        <v>5</v>
      </c>
      <c r="F442" s="1">
        <v>94</v>
      </c>
      <c r="G442">
        <v>0</v>
      </c>
      <c r="H442" s="1">
        <v>0</v>
      </c>
      <c r="I442" s="1">
        <v>0</v>
      </c>
      <c r="J442" s="1">
        <v>94</v>
      </c>
      <c r="K442" s="1">
        <v>0</v>
      </c>
      <c r="L442" s="1">
        <v>94</v>
      </c>
      <c r="M442">
        <v>5</v>
      </c>
    </row>
    <row r="443" spans="1:13" x14ac:dyDescent="0.2">
      <c r="A443" t="s">
        <v>313</v>
      </c>
      <c r="B443" t="s">
        <v>14</v>
      </c>
      <c r="C443">
        <v>9349663002015</v>
      </c>
      <c r="D443" t="s">
        <v>115</v>
      </c>
      <c r="E443">
        <v>8</v>
      </c>
      <c r="F443" s="1">
        <v>153.6</v>
      </c>
      <c r="G443">
        <v>0</v>
      </c>
      <c r="H443" s="1">
        <v>0</v>
      </c>
      <c r="I443" s="1">
        <v>-2.41</v>
      </c>
      <c r="J443" s="1">
        <v>151.19</v>
      </c>
      <c r="K443" s="1">
        <v>0</v>
      </c>
      <c r="L443" s="1">
        <v>151.19</v>
      </c>
      <c r="M443">
        <v>8</v>
      </c>
    </row>
    <row r="444" spans="1:13" x14ac:dyDescent="0.2">
      <c r="A444" t="s">
        <v>662</v>
      </c>
      <c r="B444" t="s">
        <v>14</v>
      </c>
      <c r="C444">
        <v>659359585524</v>
      </c>
      <c r="D444" t="s">
        <v>115</v>
      </c>
      <c r="E444">
        <v>14</v>
      </c>
      <c r="F444" s="1">
        <v>221.9</v>
      </c>
      <c r="G444">
        <v>0</v>
      </c>
      <c r="H444" s="1">
        <v>0</v>
      </c>
      <c r="I444" s="1">
        <v>-3.17</v>
      </c>
      <c r="J444" s="1">
        <v>218.73</v>
      </c>
      <c r="K444" s="1">
        <v>0</v>
      </c>
      <c r="L444" s="1">
        <v>218.73</v>
      </c>
      <c r="M444">
        <v>14</v>
      </c>
    </row>
    <row r="445" spans="1:13" x14ac:dyDescent="0.2">
      <c r="A445" t="s">
        <v>1065</v>
      </c>
      <c r="B445" t="s">
        <v>14</v>
      </c>
      <c r="C445">
        <v>80687508075</v>
      </c>
      <c r="D445" t="s">
        <v>115</v>
      </c>
      <c r="E445">
        <v>3</v>
      </c>
      <c r="F445" s="1">
        <v>50.85</v>
      </c>
      <c r="G445">
        <v>0</v>
      </c>
      <c r="H445" s="1">
        <v>0</v>
      </c>
      <c r="I445" s="1">
        <v>0</v>
      </c>
      <c r="J445" s="1">
        <v>50.85</v>
      </c>
      <c r="K445" s="1">
        <v>0</v>
      </c>
      <c r="L445" s="1">
        <v>50.85</v>
      </c>
      <c r="M445">
        <v>3</v>
      </c>
    </row>
    <row r="446" spans="1:13" x14ac:dyDescent="0.2">
      <c r="A446" t="s">
        <v>546</v>
      </c>
      <c r="B446" t="s">
        <v>14</v>
      </c>
      <c r="C446">
        <v>9310625012120</v>
      </c>
      <c r="D446" t="s">
        <v>115</v>
      </c>
      <c r="E446">
        <v>1</v>
      </c>
      <c r="F446" s="1">
        <v>12.5</v>
      </c>
      <c r="G446">
        <v>0</v>
      </c>
      <c r="H446" s="1">
        <v>0</v>
      </c>
      <c r="I446" s="1">
        <v>0</v>
      </c>
      <c r="J446" s="1">
        <v>12.5</v>
      </c>
      <c r="K446" s="1">
        <v>0</v>
      </c>
      <c r="L446" s="1">
        <v>12.5</v>
      </c>
      <c r="M446">
        <v>1</v>
      </c>
    </row>
    <row r="447" spans="1:13" x14ac:dyDescent="0.2">
      <c r="A447" t="s">
        <v>813</v>
      </c>
      <c r="B447" t="s">
        <v>14</v>
      </c>
      <c r="C447">
        <v>806809023406</v>
      </c>
      <c r="D447" t="s">
        <v>115</v>
      </c>
      <c r="E447">
        <v>3</v>
      </c>
      <c r="F447" s="1">
        <v>50.25</v>
      </c>
      <c r="G447">
        <v>0</v>
      </c>
      <c r="H447" s="1">
        <v>0</v>
      </c>
      <c r="I447" s="1">
        <v>0</v>
      </c>
      <c r="J447" s="1">
        <v>50.25</v>
      </c>
      <c r="K447" s="1">
        <v>0</v>
      </c>
      <c r="L447" s="1">
        <v>50.25</v>
      </c>
      <c r="M447">
        <v>3</v>
      </c>
    </row>
    <row r="448" spans="1:13" x14ac:dyDescent="0.2">
      <c r="A448" t="s">
        <v>470</v>
      </c>
      <c r="B448" t="s">
        <v>14</v>
      </c>
      <c r="C448">
        <v>9347852000224</v>
      </c>
      <c r="D448" t="s">
        <v>116</v>
      </c>
      <c r="E448">
        <v>1</v>
      </c>
      <c r="F448" s="1">
        <v>5.22</v>
      </c>
      <c r="G448">
        <v>0</v>
      </c>
      <c r="H448" s="1">
        <v>0</v>
      </c>
      <c r="I448" s="1">
        <v>0</v>
      </c>
      <c r="J448" s="1">
        <v>5.22</v>
      </c>
      <c r="K448" s="1">
        <v>0.53</v>
      </c>
      <c r="L448" s="1">
        <v>5.75</v>
      </c>
      <c r="M448">
        <v>1</v>
      </c>
    </row>
    <row r="449" spans="1:13" x14ac:dyDescent="0.2">
      <c r="A449" t="s">
        <v>471</v>
      </c>
      <c r="B449" t="s">
        <v>14</v>
      </c>
      <c r="C449">
        <v>9349125001181</v>
      </c>
      <c r="D449" t="s">
        <v>116</v>
      </c>
      <c r="E449">
        <v>3</v>
      </c>
      <c r="F449" s="1">
        <v>12.81</v>
      </c>
      <c r="G449">
        <v>0</v>
      </c>
      <c r="H449" s="1">
        <v>0</v>
      </c>
      <c r="I449" s="1">
        <v>0</v>
      </c>
      <c r="J449" s="1">
        <v>12.81</v>
      </c>
      <c r="K449" s="1">
        <v>1.29</v>
      </c>
      <c r="L449" s="1">
        <v>14.1</v>
      </c>
      <c r="M449">
        <v>3</v>
      </c>
    </row>
    <row r="450" spans="1:13" x14ac:dyDescent="0.2">
      <c r="A450" t="s">
        <v>814</v>
      </c>
      <c r="B450" t="s">
        <v>14</v>
      </c>
      <c r="C450">
        <v>9349125001228</v>
      </c>
      <c r="D450" t="s">
        <v>116</v>
      </c>
      <c r="E450">
        <v>4</v>
      </c>
      <c r="F450" s="1">
        <v>17.079999999999998</v>
      </c>
      <c r="G450">
        <v>0</v>
      </c>
      <c r="H450" s="1">
        <v>0</v>
      </c>
      <c r="I450" s="1">
        <v>0</v>
      </c>
      <c r="J450" s="1">
        <v>17.079999999999998</v>
      </c>
      <c r="K450" s="1">
        <v>1.72</v>
      </c>
      <c r="L450" s="1">
        <v>18.8</v>
      </c>
      <c r="M450">
        <v>4</v>
      </c>
    </row>
    <row r="451" spans="1:13" x14ac:dyDescent="0.2">
      <c r="A451" t="s">
        <v>1066</v>
      </c>
      <c r="B451" t="s">
        <v>14</v>
      </c>
      <c r="C451">
        <v>9369999926922</v>
      </c>
      <c r="D451" t="s">
        <v>116</v>
      </c>
      <c r="E451">
        <v>2</v>
      </c>
      <c r="F451" s="1">
        <v>23.76</v>
      </c>
      <c r="G451">
        <v>0</v>
      </c>
      <c r="H451" s="1">
        <v>0</v>
      </c>
      <c r="I451" s="1">
        <v>-2.59</v>
      </c>
      <c r="J451" s="1">
        <v>21.17</v>
      </c>
      <c r="K451" s="1">
        <v>2.14</v>
      </c>
      <c r="L451" s="1">
        <v>23.31</v>
      </c>
      <c r="M451">
        <v>2</v>
      </c>
    </row>
    <row r="452" spans="1:13" x14ac:dyDescent="0.2">
      <c r="A452" t="s">
        <v>420</v>
      </c>
      <c r="B452" t="s">
        <v>14</v>
      </c>
      <c r="C452">
        <v>9369998268191</v>
      </c>
      <c r="D452" t="s">
        <v>116</v>
      </c>
      <c r="E452">
        <v>1</v>
      </c>
      <c r="F452" s="1">
        <v>12</v>
      </c>
      <c r="G452">
        <v>0</v>
      </c>
      <c r="H452" s="1">
        <v>0</v>
      </c>
      <c r="I452" s="1">
        <v>-2.59</v>
      </c>
      <c r="J452" s="1">
        <v>9.41</v>
      </c>
      <c r="K452" s="1">
        <v>0.95</v>
      </c>
      <c r="L452" s="1">
        <v>10.36</v>
      </c>
      <c r="M452">
        <v>1</v>
      </c>
    </row>
    <row r="453" spans="1:13" x14ac:dyDescent="0.2">
      <c r="A453" t="s">
        <v>472</v>
      </c>
      <c r="B453" t="s">
        <v>14</v>
      </c>
      <c r="C453">
        <v>9369900012157</v>
      </c>
      <c r="D453" t="s">
        <v>116</v>
      </c>
      <c r="E453">
        <v>2</v>
      </c>
      <c r="F453" s="1">
        <v>23.52</v>
      </c>
      <c r="G453">
        <v>0</v>
      </c>
      <c r="H453" s="1">
        <v>0</v>
      </c>
      <c r="I453" s="1">
        <v>0</v>
      </c>
      <c r="J453" s="1">
        <v>23.52</v>
      </c>
      <c r="K453" s="1">
        <v>2.38</v>
      </c>
      <c r="L453" s="1">
        <v>25.9</v>
      </c>
      <c r="M453">
        <v>2</v>
      </c>
    </row>
    <row r="454" spans="1:13" x14ac:dyDescent="0.2">
      <c r="A454" t="s">
        <v>375</v>
      </c>
      <c r="B454" t="s">
        <v>14</v>
      </c>
      <c r="C454">
        <v>9357204000017</v>
      </c>
      <c r="D454" t="s">
        <v>116</v>
      </c>
      <c r="E454">
        <v>1</v>
      </c>
      <c r="F454" s="1">
        <v>7.1</v>
      </c>
      <c r="G454">
        <v>0</v>
      </c>
      <c r="H454" s="1">
        <v>0</v>
      </c>
      <c r="I454" s="1">
        <v>0</v>
      </c>
      <c r="J454" s="1">
        <v>7.1</v>
      </c>
      <c r="K454" s="1">
        <v>0</v>
      </c>
      <c r="L454" s="1">
        <v>7.1</v>
      </c>
      <c r="M454">
        <v>1</v>
      </c>
    </row>
    <row r="455" spans="1:13" x14ac:dyDescent="0.2">
      <c r="A455" t="s">
        <v>117</v>
      </c>
      <c r="B455" t="s">
        <v>14</v>
      </c>
      <c r="C455">
        <v>9369998020959</v>
      </c>
      <c r="D455" t="s">
        <v>116</v>
      </c>
      <c r="E455">
        <v>1</v>
      </c>
      <c r="F455" s="1">
        <v>5.9</v>
      </c>
      <c r="G455">
        <v>0</v>
      </c>
      <c r="H455" s="1">
        <v>0</v>
      </c>
      <c r="I455" s="1">
        <v>0</v>
      </c>
      <c r="J455" s="1">
        <v>5.9</v>
      </c>
      <c r="K455" s="1">
        <v>0.6</v>
      </c>
      <c r="L455" s="1">
        <v>6.5</v>
      </c>
      <c r="M455">
        <v>1</v>
      </c>
    </row>
    <row r="456" spans="1:13" x14ac:dyDescent="0.2">
      <c r="A456" t="s">
        <v>663</v>
      </c>
      <c r="B456" t="s">
        <v>14</v>
      </c>
      <c r="C456">
        <v>9357204000031</v>
      </c>
      <c r="D456" t="s">
        <v>116</v>
      </c>
      <c r="E456">
        <v>1</v>
      </c>
      <c r="F456" s="1">
        <v>7.1</v>
      </c>
      <c r="G456">
        <v>0</v>
      </c>
      <c r="H456" s="1">
        <v>0</v>
      </c>
      <c r="I456" s="1">
        <v>0</v>
      </c>
      <c r="J456" s="1">
        <v>7.1</v>
      </c>
      <c r="K456" s="1">
        <v>0</v>
      </c>
      <c r="L456" s="1">
        <v>7.1</v>
      </c>
      <c r="M456">
        <v>1</v>
      </c>
    </row>
    <row r="457" spans="1:13" x14ac:dyDescent="0.2">
      <c r="A457" t="s">
        <v>815</v>
      </c>
      <c r="B457" t="s">
        <v>14</v>
      </c>
      <c r="C457">
        <v>9357204000901</v>
      </c>
      <c r="D457" t="s">
        <v>116</v>
      </c>
      <c r="E457">
        <v>2</v>
      </c>
      <c r="F457" s="1">
        <v>11.54</v>
      </c>
      <c r="G457">
        <v>0</v>
      </c>
      <c r="H457" s="1">
        <v>0</v>
      </c>
      <c r="I457" s="1">
        <v>0</v>
      </c>
      <c r="J457" s="1">
        <v>11.54</v>
      </c>
      <c r="K457" s="1">
        <v>1.1599999999999999</v>
      </c>
      <c r="L457" s="1">
        <v>12.7</v>
      </c>
      <c r="M457">
        <v>2</v>
      </c>
    </row>
    <row r="458" spans="1:13" x14ac:dyDescent="0.2">
      <c r="A458" t="s">
        <v>548</v>
      </c>
      <c r="B458" t="s">
        <v>14</v>
      </c>
      <c r="C458">
        <v>9357204000611</v>
      </c>
      <c r="D458" t="s">
        <v>116</v>
      </c>
      <c r="E458">
        <v>2</v>
      </c>
      <c r="F458" s="1">
        <v>11.54</v>
      </c>
      <c r="G458">
        <v>0</v>
      </c>
      <c r="H458" s="1">
        <v>0</v>
      </c>
      <c r="I458" s="1">
        <v>0</v>
      </c>
      <c r="J458" s="1">
        <v>11.54</v>
      </c>
      <c r="K458" s="1">
        <v>1.1599999999999999</v>
      </c>
      <c r="L458" s="1">
        <v>12.7</v>
      </c>
      <c r="M458">
        <v>2</v>
      </c>
    </row>
    <row r="459" spans="1:13" x14ac:dyDescent="0.2">
      <c r="A459" t="s">
        <v>118</v>
      </c>
      <c r="B459" t="s">
        <v>14</v>
      </c>
      <c r="C459">
        <v>9357204000604</v>
      </c>
      <c r="D459" t="s">
        <v>116</v>
      </c>
      <c r="E459">
        <v>6</v>
      </c>
      <c r="F459" s="1">
        <v>34.61</v>
      </c>
      <c r="G459">
        <v>0</v>
      </c>
      <c r="H459" s="1">
        <v>0</v>
      </c>
      <c r="I459" s="1">
        <v>0</v>
      </c>
      <c r="J459" s="1">
        <v>34.61</v>
      </c>
      <c r="K459" s="1">
        <v>3.49</v>
      </c>
      <c r="L459" s="1">
        <v>38.1</v>
      </c>
      <c r="M459">
        <v>6</v>
      </c>
    </row>
    <row r="460" spans="1:13" x14ac:dyDescent="0.2">
      <c r="A460" t="s">
        <v>549</v>
      </c>
      <c r="B460" t="s">
        <v>14</v>
      </c>
      <c r="C460">
        <v>9357204000208</v>
      </c>
      <c r="D460" t="s">
        <v>116</v>
      </c>
      <c r="E460">
        <v>1</v>
      </c>
      <c r="F460" s="1">
        <v>6.63</v>
      </c>
      <c r="G460">
        <v>0</v>
      </c>
      <c r="H460" s="1">
        <v>0</v>
      </c>
      <c r="I460" s="1">
        <v>0</v>
      </c>
      <c r="J460" s="1">
        <v>6.63</v>
      </c>
      <c r="K460" s="1">
        <v>0.67</v>
      </c>
      <c r="L460" s="1">
        <v>7.3</v>
      </c>
      <c r="M460">
        <v>1</v>
      </c>
    </row>
    <row r="461" spans="1:13" x14ac:dyDescent="0.2">
      <c r="A461" t="s">
        <v>664</v>
      </c>
      <c r="B461" t="s">
        <v>14</v>
      </c>
      <c r="C461">
        <v>9369998119127</v>
      </c>
      <c r="D461" t="s">
        <v>116</v>
      </c>
      <c r="E461">
        <v>7</v>
      </c>
      <c r="F461" s="1">
        <v>41.3</v>
      </c>
      <c r="G461">
        <v>0</v>
      </c>
      <c r="H461" s="1">
        <v>0</v>
      </c>
      <c r="I461" s="1">
        <v>0</v>
      </c>
      <c r="J461" s="1">
        <v>41.3</v>
      </c>
      <c r="K461" s="1">
        <v>4.2</v>
      </c>
      <c r="L461" s="1">
        <v>45.5</v>
      </c>
      <c r="M461">
        <v>7</v>
      </c>
    </row>
    <row r="462" spans="1:13" x14ac:dyDescent="0.2">
      <c r="A462" t="s">
        <v>314</v>
      </c>
      <c r="B462" t="s">
        <v>14</v>
      </c>
      <c r="C462">
        <v>9357204000000</v>
      </c>
      <c r="D462" t="s">
        <v>116</v>
      </c>
      <c r="E462">
        <v>10</v>
      </c>
      <c r="F462" s="1">
        <v>72.5</v>
      </c>
      <c r="G462">
        <v>0</v>
      </c>
      <c r="H462" s="1">
        <v>0</v>
      </c>
      <c r="I462" s="1">
        <v>-3</v>
      </c>
      <c r="J462" s="1">
        <v>69.5</v>
      </c>
      <c r="K462" s="1">
        <v>0</v>
      </c>
      <c r="L462" s="1">
        <v>69.5</v>
      </c>
      <c r="M462">
        <v>10</v>
      </c>
    </row>
    <row r="463" spans="1:13" x14ac:dyDescent="0.2">
      <c r="A463" t="s">
        <v>816</v>
      </c>
      <c r="B463" t="s">
        <v>14</v>
      </c>
      <c r="C463">
        <v>9353707000998</v>
      </c>
      <c r="D463" t="s">
        <v>116</v>
      </c>
      <c r="E463">
        <v>1</v>
      </c>
      <c r="F463" s="1">
        <v>5.27</v>
      </c>
      <c r="G463">
        <v>0</v>
      </c>
      <c r="H463" s="1">
        <v>0</v>
      </c>
      <c r="I463" s="1">
        <v>0</v>
      </c>
      <c r="J463" s="1">
        <v>5.27</v>
      </c>
      <c r="K463" s="1">
        <v>0.53</v>
      </c>
      <c r="L463" s="1">
        <v>5.8</v>
      </c>
      <c r="M463">
        <v>1</v>
      </c>
    </row>
    <row r="464" spans="1:13" x14ac:dyDescent="0.2">
      <c r="A464" t="s">
        <v>665</v>
      </c>
      <c r="B464" t="s">
        <v>14</v>
      </c>
      <c r="C464">
        <v>9353707001001</v>
      </c>
      <c r="D464" t="s">
        <v>116</v>
      </c>
      <c r="E464">
        <v>2</v>
      </c>
      <c r="F464" s="1">
        <v>9</v>
      </c>
      <c r="G464">
        <v>0</v>
      </c>
      <c r="H464" s="1">
        <v>0</v>
      </c>
      <c r="I464" s="1">
        <v>-0.13</v>
      </c>
      <c r="J464" s="1">
        <v>8.8699999999999992</v>
      </c>
      <c r="K464" s="1">
        <v>0.9</v>
      </c>
      <c r="L464" s="1">
        <v>9.77</v>
      </c>
      <c r="M464">
        <v>2</v>
      </c>
    </row>
    <row r="465" spans="1:13" x14ac:dyDescent="0.2">
      <c r="A465" t="s">
        <v>387</v>
      </c>
      <c r="B465" t="s">
        <v>14</v>
      </c>
      <c r="C465">
        <v>9353707000363</v>
      </c>
      <c r="D465" t="s">
        <v>116</v>
      </c>
      <c r="E465">
        <v>2</v>
      </c>
      <c r="F465" s="1">
        <v>9</v>
      </c>
      <c r="G465">
        <v>0</v>
      </c>
      <c r="H465" s="1">
        <v>0</v>
      </c>
      <c r="I465" s="1">
        <v>-0.11</v>
      </c>
      <c r="J465" s="1">
        <v>8.89</v>
      </c>
      <c r="K465" s="1">
        <v>0.9</v>
      </c>
      <c r="L465" s="1">
        <v>9.7899999999999991</v>
      </c>
      <c r="M465">
        <v>2</v>
      </c>
    </row>
    <row r="466" spans="1:13" x14ac:dyDescent="0.2">
      <c r="A466" t="s">
        <v>421</v>
      </c>
      <c r="B466" t="s">
        <v>14</v>
      </c>
      <c r="C466">
        <v>9369998407569</v>
      </c>
      <c r="D466" t="s">
        <v>116</v>
      </c>
      <c r="E466">
        <v>1</v>
      </c>
      <c r="F466" s="1">
        <v>4.5</v>
      </c>
      <c r="G466">
        <v>0</v>
      </c>
      <c r="H466" s="1">
        <v>0</v>
      </c>
      <c r="I466" s="1">
        <v>0</v>
      </c>
      <c r="J466" s="1">
        <v>4.5</v>
      </c>
      <c r="K466" s="1">
        <v>0.45</v>
      </c>
      <c r="L466" s="1">
        <v>4.95</v>
      </c>
      <c r="M466">
        <v>1</v>
      </c>
    </row>
    <row r="467" spans="1:13" x14ac:dyDescent="0.2">
      <c r="A467" t="s">
        <v>666</v>
      </c>
      <c r="B467" t="s">
        <v>14</v>
      </c>
      <c r="C467">
        <v>9353707000301</v>
      </c>
      <c r="D467" t="s">
        <v>116</v>
      </c>
      <c r="E467">
        <v>1</v>
      </c>
      <c r="F467" s="1">
        <v>4.51</v>
      </c>
      <c r="G467">
        <v>0</v>
      </c>
      <c r="H467" s="1">
        <v>0</v>
      </c>
      <c r="I467" s="1">
        <v>-0.13</v>
      </c>
      <c r="J467" s="1">
        <v>4.38</v>
      </c>
      <c r="K467" s="1">
        <v>0.44</v>
      </c>
      <c r="L467" s="1">
        <v>4.82</v>
      </c>
      <c r="M467">
        <v>1</v>
      </c>
    </row>
    <row r="468" spans="1:13" x14ac:dyDescent="0.2">
      <c r="A468" t="s">
        <v>817</v>
      </c>
      <c r="B468" t="s">
        <v>14</v>
      </c>
      <c r="C468">
        <v>9353707000288</v>
      </c>
      <c r="D468" t="s">
        <v>116</v>
      </c>
      <c r="E468">
        <v>4</v>
      </c>
      <c r="F468" s="1">
        <v>21.32</v>
      </c>
      <c r="G468">
        <v>0</v>
      </c>
      <c r="H468" s="1">
        <v>0</v>
      </c>
      <c r="I468" s="1">
        <v>-4.5999999999999996</v>
      </c>
      <c r="J468" s="1">
        <v>16.72</v>
      </c>
      <c r="K468" s="1">
        <v>1.68</v>
      </c>
      <c r="L468" s="1">
        <v>18.399999999999999</v>
      </c>
      <c r="M468">
        <v>4</v>
      </c>
    </row>
    <row r="469" spans="1:13" x14ac:dyDescent="0.2">
      <c r="A469" t="s">
        <v>667</v>
      </c>
      <c r="B469" t="s">
        <v>14</v>
      </c>
      <c r="C469">
        <v>9353707000349</v>
      </c>
      <c r="D469" t="s">
        <v>116</v>
      </c>
      <c r="E469">
        <v>3</v>
      </c>
      <c r="F469" s="1">
        <v>15.99</v>
      </c>
      <c r="G469">
        <v>0</v>
      </c>
      <c r="H469" s="1">
        <v>0</v>
      </c>
      <c r="I469" s="1">
        <v>-3.45</v>
      </c>
      <c r="J469" s="1">
        <v>12.54</v>
      </c>
      <c r="K469" s="1">
        <v>1.26</v>
      </c>
      <c r="L469" s="1">
        <v>13.8</v>
      </c>
      <c r="M469">
        <v>3</v>
      </c>
    </row>
    <row r="470" spans="1:13" x14ac:dyDescent="0.2">
      <c r="A470" t="s">
        <v>818</v>
      </c>
      <c r="B470" t="s">
        <v>14</v>
      </c>
      <c r="C470">
        <v>9353707000356</v>
      </c>
      <c r="D470" t="s">
        <v>116</v>
      </c>
      <c r="E470">
        <v>2</v>
      </c>
      <c r="F470" s="1">
        <v>10.66</v>
      </c>
      <c r="G470">
        <v>0</v>
      </c>
      <c r="H470" s="1">
        <v>0</v>
      </c>
      <c r="I470" s="1">
        <v>-2.2999999999999998</v>
      </c>
      <c r="J470" s="1">
        <v>8.36</v>
      </c>
      <c r="K470" s="1">
        <v>0.84</v>
      </c>
      <c r="L470" s="1">
        <v>9.1999999999999993</v>
      </c>
      <c r="M470">
        <v>2</v>
      </c>
    </row>
    <row r="471" spans="1:13" x14ac:dyDescent="0.2">
      <c r="A471" t="s">
        <v>473</v>
      </c>
      <c r="B471" t="s">
        <v>14</v>
      </c>
      <c r="C471">
        <v>9353707000981</v>
      </c>
      <c r="D471" t="s">
        <v>116</v>
      </c>
      <c r="E471">
        <v>1</v>
      </c>
      <c r="F471" s="1">
        <v>5.32</v>
      </c>
      <c r="G471">
        <v>0</v>
      </c>
      <c r="H471" s="1">
        <v>0</v>
      </c>
      <c r="I471" s="1">
        <v>-1.1499999999999999</v>
      </c>
      <c r="J471" s="1">
        <v>4.17</v>
      </c>
      <c r="K471" s="1">
        <v>0.43</v>
      </c>
      <c r="L471" s="1">
        <v>4.5999999999999996</v>
      </c>
      <c r="M471">
        <v>1</v>
      </c>
    </row>
    <row r="472" spans="1:13" x14ac:dyDescent="0.2">
      <c r="A472" t="s">
        <v>550</v>
      </c>
      <c r="B472" t="s">
        <v>14</v>
      </c>
      <c r="C472">
        <v>93559928</v>
      </c>
      <c r="D472" t="s">
        <v>116</v>
      </c>
      <c r="E472">
        <v>6</v>
      </c>
      <c r="F472" s="1">
        <v>25.8</v>
      </c>
      <c r="G472">
        <v>0</v>
      </c>
      <c r="H472" s="1">
        <v>0</v>
      </c>
      <c r="I472" s="1">
        <v>-0.48</v>
      </c>
      <c r="J472" s="1">
        <v>25.32</v>
      </c>
      <c r="K472" s="1">
        <v>0</v>
      </c>
      <c r="L472" s="1">
        <v>25.32</v>
      </c>
      <c r="M472">
        <v>6</v>
      </c>
    </row>
    <row r="473" spans="1:13" x14ac:dyDescent="0.2">
      <c r="A473" t="s">
        <v>396</v>
      </c>
      <c r="B473" t="s">
        <v>14</v>
      </c>
      <c r="C473">
        <v>93559959</v>
      </c>
      <c r="D473" t="s">
        <v>116</v>
      </c>
      <c r="E473">
        <v>4</v>
      </c>
      <c r="F473" s="1">
        <v>17.2</v>
      </c>
      <c r="G473">
        <v>0</v>
      </c>
      <c r="H473" s="1">
        <v>0</v>
      </c>
      <c r="I473" s="1">
        <v>0</v>
      </c>
      <c r="J473" s="1">
        <v>17.2</v>
      </c>
      <c r="K473" s="1">
        <v>0</v>
      </c>
      <c r="L473" s="1">
        <v>17.2</v>
      </c>
      <c r="M473">
        <v>4</v>
      </c>
    </row>
    <row r="474" spans="1:13" x14ac:dyDescent="0.2">
      <c r="A474" t="s">
        <v>1067</v>
      </c>
      <c r="B474" t="s">
        <v>14</v>
      </c>
      <c r="C474">
        <v>9357841000470</v>
      </c>
      <c r="D474" t="s">
        <v>116</v>
      </c>
      <c r="E474">
        <v>1</v>
      </c>
      <c r="F474" s="1">
        <v>3.45</v>
      </c>
      <c r="G474">
        <v>0</v>
      </c>
      <c r="H474" s="1">
        <v>0</v>
      </c>
      <c r="I474" s="1">
        <v>0</v>
      </c>
      <c r="J474" s="1">
        <v>3.45</v>
      </c>
      <c r="K474" s="1">
        <v>0.35</v>
      </c>
      <c r="L474" s="1">
        <v>3.8</v>
      </c>
      <c r="M474">
        <v>1</v>
      </c>
    </row>
    <row r="475" spans="1:13" x14ac:dyDescent="0.2">
      <c r="A475" t="s">
        <v>1068</v>
      </c>
      <c r="B475" t="s">
        <v>14</v>
      </c>
      <c r="C475">
        <v>9351209004728</v>
      </c>
      <c r="D475" t="s">
        <v>116</v>
      </c>
      <c r="E475">
        <v>1</v>
      </c>
      <c r="F475" s="1">
        <v>5.04</v>
      </c>
      <c r="G475">
        <v>0</v>
      </c>
      <c r="H475" s="1">
        <v>0</v>
      </c>
      <c r="I475" s="1">
        <v>0</v>
      </c>
      <c r="J475" s="1">
        <v>5.04</v>
      </c>
      <c r="K475" s="1">
        <v>0.51</v>
      </c>
      <c r="L475" s="1">
        <v>5.55</v>
      </c>
      <c r="M475">
        <v>1</v>
      </c>
    </row>
    <row r="476" spans="1:13" x14ac:dyDescent="0.2">
      <c r="A476" t="s">
        <v>1069</v>
      </c>
      <c r="B476" t="s">
        <v>14</v>
      </c>
      <c r="C476">
        <v>9344081000926</v>
      </c>
      <c r="D476" t="s">
        <v>116</v>
      </c>
      <c r="E476">
        <v>1</v>
      </c>
      <c r="F476" s="1">
        <v>6.13</v>
      </c>
      <c r="G476">
        <v>0</v>
      </c>
      <c r="H476" s="1">
        <v>0</v>
      </c>
      <c r="I476" s="1">
        <v>0</v>
      </c>
      <c r="J476" s="1">
        <v>6.13</v>
      </c>
      <c r="K476" s="1">
        <v>0.62</v>
      </c>
      <c r="L476" s="1">
        <v>6.75</v>
      </c>
      <c r="M476">
        <v>1</v>
      </c>
    </row>
    <row r="477" spans="1:13" x14ac:dyDescent="0.2">
      <c r="A477" t="s">
        <v>349</v>
      </c>
      <c r="B477" t="s">
        <v>14</v>
      </c>
      <c r="C477">
        <v>661646992656</v>
      </c>
      <c r="D477" t="s">
        <v>116</v>
      </c>
      <c r="E477">
        <v>2</v>
      </c>
      <c r="F477" s="1">
        <v>12.62</v>
      </c>
      <c r="G477">
        <v>0</v>
      </c>
      <c r="H477" s="1">
        <v>0</v>
      </c>
      <c r="I477" s="1">
        <v>0</v>
      </c>
      <c r="J477" s="1">
        <v>12.62</v>
      </c>
      <c r="K477" s="1">
        <v>1.28</v>
      </c>
      <c r="L477" s="1">
        <v>13.9</v>
      </c>
      <c r="M477">
        <v>2</v>
      </c>
    </row>
    <row r="478" spans="1:13" x14ac:dyDescent="0.2">
      <c r="A478" t="s">
        <v>289</v>
      </c>
      <c r="B478" t="s">
        <v>14</v>
      </c>
      <c r="C478">
        <v>661646992519</v>
      </c>
      <c r="D478" t="s">
        <v>116</v>
      </c>
      <c r="E478">
        <v>3</v>
      </c>
      <c r="F478" s="1">
        <v>18.93</v>
      </c>
      <c r="G478">
        <v>0</v>
      </c>
      <c r="H478" s="1">
        <v>0</v>
      </c>
      <c r="I478" s="1">
        <v>0</v>
      </c>
      <c r="J478" s="1">
        <v>18.93</v>
      </c>
      <c r="K478" s="1">
        <v>1.92</v>
      </c>
      <c r="L478" s="1">
        <v>20.85</v>
      </c>
      <c r="M478">
        <v>3</v>
      </c>
    </row>
    <row r="479" spans="1:13" x14ac:dyDescent="0.2">
      <c r="A479" t="s">
        <v>423</v>
      </c>
      <c r="B479" t="s">
        <v>14</v>
      </c>
      <c r="C479">
        <v>661646992502</v>
      </c>
      <c r="D479" t="s">
        <v>116</v>
      </c>
      <c r="E479">
        <v>4</v>
      </c>
      <c r="F479" s="1">
        <v>25.24</v>
      </c>
      <c r="G479">
        <v>0</v>
      </c>
      <c r="H479" s="1">
        <v>0</v>
      </c>
      <c r="I479" s="1">
        <v>0</v>
      </c>
      <c r="J479" s="1">
        <v>25.24</v>
      </c>
      <c r="K479" s="1">
        <v>2.56</v>
      </c>
      <c r="L479" s="1">
        <v>27.8</v>
      </c>
      <c r="M479">
        <v>4</v>
      </c>
    </row>
    <row r="480" spans="1:13" x14ac:dyDescent="0.2">
      <c r="A480" t="s">
        <v>669</v>
      </c>
      <c r="B480" t="s">
        <v>14</v>
      </c>
      <c r="C480">
        <v>9346190000385</v>
      </c>
      <c r="D480" t="s">
        <v>116</v>
      </c>
      <c r="E480">
        <v>1</v>
      </c>
      <c r="F480" s="1">
        <v>5.09</v>
      </c>
      <c r="G480">
        <v>0</v>
      </c>
      <c r="H480" s="1">
        <v>0</v>
      </c>
      <c r="I480" s="1">
        <v>0</v>
      </c>
      <c r="J480" s="1">
        <v>5.09</v>
      </c>
      <c r="K480" s="1">
        <v>0.51</v>
      </c>
      <c r="L480" s="1">
        <v>5.6</v>
      </c>
      <c r="M480">
        <v>1</v>
      </c>
    </row>
    <row r="481" spans="1:13" x14ac:dyDescent="0.2">
      <c r="A481" t="s">
        <v>819</v>
      </c>
      <c r="B481" t="s">
        <v>14</v>
      </c>
      <c r="C481">
        <v>9346190000392</v>
      </c>
      <c r="D481" t="s">
        <v>116</v>
      </c>
      <c r="E481">
        <v>3</v>
      </c>
      <c r="F481" s="1">
        <v>15.27</v>
      </c>
      <c r="G481">
        <v>0</v>
      </c>
      <c r="H481" s="1">
        <v>0</v>
      </c>
      <c r="I481" s="1">
        <v>0</v>
      </c>
      <c r="J481" s="1">
        <v>15.27</v>
      </c>
      <c r="K481" s="1">
        <v>1.53</v>
      </c>
      <c r="L481" s="1">
        <v>16.8</v>
      </c>
      <c r="M481">
        <v>3</v>
      </c>
    </row>
    <row r="482" spans="1:13" x14ac:dyDescent="0.2">
      <c r="A482" t="s">
        <v>670</v>
      </c>
      <c r="B482" t="s">
        <v>14</v>
      </c>
      <c r="C482">
        <v>9346190000415</v>
      </c>
      <c r="D482" t="s">
        <v>116</v>
      </c>
      <c r="E482">
        <v>1</v>
      </c>
      <c r="F482" s="1">
        <v>5.09</v>
      </c>
      <c r="G482">
        <v>0</v>
      </c>
      <c r="H482" s="1">
        <v>0</v>
      </c>
      <c r="I482" s="1">
        <v>0</v>
      </c>
      <c r="J482" s="1">
        <v>5.09</v>
      </c>
      <c r="K482" s="1">
        <v>0.51</v>
      </c>
      <c r="L482" s="1">
        <v>5.6</v>
      </c>
      <c r="M482">
        <v>1</v>
      </c>
    </row>
    <row r="483" spans="1:13" x14ac:dyDescent="0.2">
      <c r="A483" t="s">
        <v>1070</v>
      </c>
      <c r="B483" t="s">
        <v>14</v>
      </c>
      <c r="C483">
        <v>9346190001184</v>
      </c>
      <c r="D483" t="s">
        <v>116</v>
      </c>
      <c r="E483">
        <v>1</v>
      </c>
      <c r="F483" s="1">
        <v>5.41</v>
      </c>
      <c r="G483">
        <v>0</v>
      </c>
      <c r="H483" s="1">
        <v>0</v>
      </c>
      <c r="I483" s="1">
        <v>0</v>
      </c>
      <c r="J483" s="1">
        <v>5.41</v>
      </c>
      <c r="K483" s="1">
        <v>0.54</v>
      </c>
      <c r="L483" s="1">
        <v>5.95</v>
      </c>
      <c r="M483">
        <v>1</v>
      </c>
    </row>
    <row r="484" spans="1:13" x14ac:dyDescent="0.2">
      <c r="A484" t="s">
        <v>1071</v>
      </c>
      <c r="B484" t="s">
        <v>14</v>
      </c>
      <c r="C484">
        <v>9346190000422</v>
      </c>
      <c r="D484" t="s">
        <v>116</v>
      </c>
      <c r="E484">
        <v>3</v>
      </c>
      <c r="F484" s="1">
        <v>16.21</v>
      </c>
      <c r="G484">
        <v>0</v>
      </c>
      <c r="H484" s="1">
        <v>0</v>
      </c>
      <c r="I484" s="1">
        <v>0</v>
      </c>
      <c r="J484" s="1">
        <v>16.21</v>
      </c>
      <c r="K484" s="1">
        <v>1.64</v>
      </c>
      <c r="L484" s="1">
        <v>17.850000000000001</v>
      </c>
      <c r="M484">
        <v>3</v>
      </c>
    </row>
    <row r="485" spans="1:13" x14ac:dyDescent="0.2">
      <c r="A485" t="s">
        <v>1072</v>
      </c>
      <c r="B485" t="s">
        <v>14</v>
      </c>
      <c r="C485">
        <v>9346190000514</v>
      </c>
      <c r="D485" t="s">
        <v>116</v>
      </c>
      <c r="E485">
        <v>2</v>
      </c>
      <c r="F485" s="1">
        <v>11</v>
      </c>
      <c r="G485">
        <v>0</v>
      </c>
      <c r="H485" s="1">
        <v>0</v>
      </c>
      <c r="I485" s="1">
        <v>-2.14</v>
      </c>
      <c r="J485" s="1">
        <v>8.86</v>
      </c>
      <c r="K485" s="1">
        <v>0.9</v>
      </c>
      <c r="L485" s="1">
        <v>9.76</v>
      </c>
      <c r="M485">
        <v>2</v>
      </c>
    </row>
    <row r="486" spans="1:13" x14ac:dyDescent="0.2">
      <c r="A486" t="s">
        <v>424</v>
      </c>
      <c r="B486" t="s">
        <v>14</v>
      </c>
      <c r="C486">
        <v>9346190002068</v>
      </c>
      <c r="D486" t="s">
        <v>116</v>
      </c>
      <c r="E486">
        <v>3</v>
      </c>
      <c r="F486" s="1">
        <v>16.21</v>
      </c>
      <c r="G486">
        <v>0</v>
      </c>
      <c r="H486" s="1">
        <v>0</v>
      </c>
      <c r="I486" s="1">
        <v>0</v>
      </c>
      <c r="J486" s="1">
        <v>16.21</v>
      </c>
      <c r="K486" s="1">
        <v>1.64</v>
      </c>
      <c r="L486" s="1">
        <v>17.850000000000001</v>
      </c>
      <c r="M486">
        <v>3</v>
      </c>
    </row>
    <row r="487" spans="1:13" x14ac:dyDescent="0.2">
      <c r="A487" t="s">
        <v>475</v>
      </c>
      <c r="B487" t="s">
        <v>14</v>
      </c>
      <c r="C487">
        <v>9346190001634</v>
      </c>
      <c r="D487" t="s">
        <v>116</v>
      </c>
      <c r="E487">
        <v>1</v>
      </c>
      <c r="F487" s="1">
        <v>5.4</v>
      </c>
      <c r="G487">
        <v>0</v>
      </c>
      <c r="H487" s="1">
        <v>0</v>
      </c>
      <c r="I487" s="1">
        <v>0</v>
      </c>
      <c r="J487" s="1">
        <v>5.4</v>
      </c>
      <c r="K487" s="1">
        <v>0.55000000000000004</v>
      </c>
      <c r="L487" s="1">
        <v>5.95</v>
      </c>
      <c r="M487">
        <v>1</v>
      </c>
    </row>
    <row r="488" spans="1:13" x14ac:dyDescent="0.2">
      <c r="A488" t="s">
        <v>553</v>
      </c>
      <c r="B488" t="s">
        <v>14</v>
      </c>
      <c r="C488">
        <v>9346190000552</v>
      </c>
      <c r="D488" t="s">
        <v>116</v>
      </c>
      <c r="E488">
        <v>1</v>
      </c>
      <c r="F488" s="1">
        <v>5.4</v>
      </c>
      <c r="G488">
        <v>0</v>
      </c>
      <c r="H488" s="1">
        <v>0</v>
      </c>
      <c r="I488" s="1">
        <v>0</v>
      </c>
      <c r="J488" s="1">
        <v>5.4</v>
      </c>
      <c r="K488" s="1">
        <v>0.55000000000000004</v>
      </c>
      <c r="L488" s="1">
        <v>5.95</v>
      </c>
      <c r="M488">
        <v>1</v>
      </c>
    </row>
    <row r="489" spans="1:13" x14ac:dyDescent="0.2">
      <c r="A489" t="s">
        <v>1073</v>
      </c>
      <c r="B489" t="s">
        <v>14</v>
      </c>
      <c r="C489">
        <v>9346190000644</v>
      </c>
      <c r="D489" t="s">
        <v>116</v>
      </c>
      <c r="E489">
        <v>1</v>
      </c>
      <c r="F489" s="1">
        <v>5.4</v>
      </c>
      <c r="G489">
        <v>0</v>
      </c>
      <c r="H489" s="1">
        <v>0</v>
      </c>
      <c r="I489" s="1">
        <v>0</v>
      </c>
      <c r="J489" s="1">
        <v>5.4</v>
      </c>
      <c r="K489" s="1">
        <v>0.55000000000000004</v>
      </c>
      <c r="L489" s="1">
        <v>5.95</v>
      </c>
      <c r="M489">
        <v>1</v>
      </c>
    </row>
    <row r="490" spans="1:13" x14ac:dyDescent="0.2">
      <c r="A490" t="s">
        <v>1074</v>
      </c>
      <c r="B490" t="s">
        <v>14</v>
      </c>
      <c r="C490">
        <v>9346190000460</v>
      </c>
      <c r="D490" t="s">
        <v>116</v>
      </c>
      <c r="E490">
        <v>1</v>
      </c>
      <c r="F490" s="1">
        <v>5.41</v>
      </c>
      <c r="G490">
        <v>0</v>
      </c>
      <c r="H490" s="1">
        <v>0</v>
      </c>
      <c r="I490" s="1">
        <v>0</v>
      </c>
      <c r="J490" s="1">
        <v>5.41</v>
      </c>
      <c r="K490" s="1">
        <v>0.54</v>
      </c>
      <c r="L490" s="1">
        <v>5.95</v>
      </c>
      <c r="M490">
        <v>1</v>
      </c>
    </row>
    <row r="491" spans="1:13" x14ac:dyDescent="0.2">
      <c r="A491" t="s">
        <v>1075</v>
      </c>
      <c r="B491" t="s">
        <v>14</v>
      </c>
      <c r="C491">
        <v>9346190000361</v>
      </c>
      <c r="D491" t="s">
        <v>116</v>
      </c>
      <c r="E491">
        <v>2</v>
      </c>
      <c r="F491" s="1">
        <v>10.8</v>
      </c>
      <c r="G491">
        <v>0</v>
      </c>
      <c r="H491" s="1">
        <v>0</v>
      </c>
      <c r="I491" s="1">
        <v>0</v>
      </c>
      <c r="J491" s="1">
        <v>10.8</v>
      </c>
      <c r="K491" s="1">
        <v>1.1000000000000001</v>
      </c>
      <c r="L491" s="1">
        <v>11.9</v>
      </c>
      <c r="M491">
        <v>2</v>
      </c>
    </row>
    <row r="492" spans="1:13" x14ac:dyDescent="0.2">
      <c r="A492" t="s">
        <v>376</v>
      </c>
      <c r="B492" t="s">
        <v>14</v>
      </c>
      <c r="C492">
        <v>9309001434007</v>
      </c>
      <c r="D492" t="s">
        <v>116</v>
      </c>
      <c r="E492">
        <v>1</v>
      </c>
      <c r="F492" s="1">
        <v>5.22</v>
      </c>
      <c r="G492">
        <v>0</v>
      </c>
      <c r="H492" s="1">
        <v>0</v>
      </c>
      <c r="I492" s="1">
        <v>0</v>
      </c>
      <c r="J492" s="1">
        <v>5.22</v>
      </c>
      <c r="K492" s="1">
        <v>0.53</v>
      </c>
      <c r="L492" s="1">
        <v>5.75</v>
      </c>
      <c r="M492">
        <v>1</v>
      </c>
    </row>
    <row r="493" spans="1:13" x14ac:dyDescent="0.2">
      <c r="A493" t="s">
        <v>1076</v>
      </c>
      <c r="B493" t="s">
        <v>14</v>
      </c>
      <c r="C493">
        <v>9309001434083</v>
      </c>
      <c r="D493" t="s">
        <v>116</v>
      </c>
      <c r="E493">
        <v>3</v>
      </c>
      <c r="F493" s="1">
        <v>61.29</v>
      </c>
      <c r="G493">
        <v>0</v>
      </c>
      <c r="H493" s="1">
        <v>0</v>
      </c>
      <c r="I493" s="1">
        <v>0</v>
      </c>
      <c r="J493" s="1">
        <v>61.29</v>
      </c>
      <c r="K493" s="1">
        <v>6.21</v>
      </c>
      <c r="L493" s="1">
        <v>67.5</v>
      </c>
      <c r="M493">
        <v>3</v>
      </c>
    </row>
    <row r="494" spans="1:13" x14ac:dyDescent="0.2">
      <c r="A494" t="s">
        <v>820</v>
      </c>
      <c r="B494" t="s">
        <v>14</v>
      </c>
      <c r="C494">
        <v>9309001434168</v>
      </c>
      <c r="D494" t="s">
        <v>116</v>
      </c>
      <c r="E494">
        <v>1</v>
      </c>
      <c r="F494" s="1">
        <v>5.22</v>
      </c>
      <c r="G494">
        <v>0</v>
      </c>
      <c r="H494" s="1">
        <v>0</v>
      </c>
      <c r="I494" s="1">
        <v>0</v>
      </c>
      <c r="J494" s="1">
        <v>5.22</v>
      </c>
      <c r="K494" s="1">
        <v>0.53</v>
      </c>
      <c r="L494" s="1">
        <v>5.75</v>
      </c>
      <c r="M494">
        <v>1</v>
      </c>
    </row>
    <row r="495" spans="1:13" x14ac:dyDescent="0.2">
      <c r="A495" t="s">
        <v>554</v>
      </c>
      <c r="B495" t="s">
        <v>14</v>
      </c>
      <c r="C495">
        <v>9309001434076</v>
      </c>
      <c r="D495" t="s">
        <v>116</v>
      </c>
      <c r="E495">
        <v>2</v>
      </c>
      <c r="F495" s="1">
        <v>40.86</v>
      </c>
      <c r="G495">
        <v>0</v>
      </c>
      <c r="H495" s="1">
        <v>0</v>
      </c>
      <c r="I495" s="1">
        <v>0</v>
      </c>
      <c r="J495" s="1">
        <v>40.86</v>
      </c>
      <c r="K495" s="1">
        <v>4.1399999999999997</v>
      </c>
      <c r="L495" s="1">
        <v>45</v>
      </c>
      <c r="M495">
        <v>2</v>
      </c>
    </row>
    <row r="496" spans="1:13" x14ac:dyDescent="0.2">
      <c r="A496" t="s">
        <v>315</v>
      </c>
      <c r="B496" t="s">
        <v>14</v>
      </c>
      <c r="C496">
        <v>9309001434021</v>
      </c>
      <c r="D496" t="s">
        <v>116</v>
      </c>
      <c r="E496">
        <v>3</v>
      </c>
      <c r="F496" s="1">
        <v>15.66</v>
      </c>
      <c r="G496">
        <v>0</v>
      </c>
      <c r="H496" s="1">
        <v>0</v>
      </c>
      <c r="I496" s="1">
        <v>0</v>
      </c>
      <c r="J496" s="1">
        <v>15.66</v>
      </c>
      <c r="K496" s="1">
        <v>1.59</v>
      </c>
      <c r="L496" s="1">
        <v>17.25</v>
      </c>
      <c r="M496">
        <v>3</v>
      </c>
    </row>
    <row r="497" spans="1:13" x14ac:dyDescent="0.2">
      <c r="A497" t="s">
        <v>476</v>
      </c>
      <c r="B497" t="s">
        <v>14</v>
      </c>
      <c r="C497">
        <v>9309001434090</v>
      </c>
      <c r="D497" t="s">
        <v>116</v>
      </c>
      <c r="E497">
        <v>1</v>
      </c>
      <c r="F497" s="1">
        <v>20.43</v>
      </c>
      <c r="G497">
        <v>0</v>
      </c>
      <c r="H497" s="1">
        <v>0</v>
      </c>
      <c r="I497" s="1">
        <v>0</v>
      </c>
      <c r="J497" s="1">
        <v>20.43</v>
      </c>
      <c r="K497" s="1">
        <v>2.0699999999999998</v>
      </c>
      <c r="L497" s="1">
        <v>22.5</v>
      </c>
      <c r="M497">
        <v>1</v>
      </c>
    </row>
    <row r="498" spans="1:13" x14ac:dyDescent="0.2">
      <c r="A498" t="s">
        <v>821</v>
      </c>
      <c r="B498" t="s">
        <v>14</v>
      </c>
      <c r="C498">
        <v>9309001434205</v>
      </c>
      <c r="D498" t="s">
        <v>116</v>
      </c>
      <c r="E498">
        <v>1</v>
      </c>
      <c r="F498" s="1">
        <v>20.43</v>
      </c>
      <c r="G498">
        <v>0</v>
      </c>
      <c r="H498" s="1">
        <v>0</v>
      </c>
      <c r="I498" s="1">
        <v>0</v>
      </c>
      <c r="J498" s="1">
        <v>20.43</v>
      </c>
      <c r="K498" s="1">
        <v>2.0699999999999998</v>
      </c>
      <c r="L498" s="1">
        <v>22.5</v>
      </c>
      <c r="M498">
        <v>1</v>
      </c>
    </row>
    <row r="499" spans="1:13" x14ac:dyDescent="0.2">
      <c r="A499" t="s">
        <v>555</v>
      </c>
      <c r="B499" t="s">
        <v>14</v>
      </c>
      <c r="C499">
        <v>9309001434052</v>
      </c>
      <c r="D499" t="s">
        <v>116</v>
      </c>
      <c r="E499">
        <v>1</v>
      </c>
      <c r="F499" s="1">
        <v>20.43</v>
      </c>
      <c r="G499">
        <v>0</v>
      </c>
      <c r="H499" s="1">
        <v>0</v>
      </c>
      <c r="I499" s="1">
        <v>0</v>
      </c>
      <c r="J499" s="1">
        <v>20.43</v>
      </c>
      <c r="K499" s="1">
        <v>2.0699999999999998</v>
      </c>
      <c r="L499" s="1">
        <v>22.5</v>
      </c>
      <c r="M499">
        <v>1</v>
      </c>
    </row>
    <row r="500" spans="1:13" x14ac:dyDescent="0.2">
      <c r="A500" t="s">
        <v>120</v>
      </c>
      <c r="B500" t="s">
        <v>14</v>
      </c>
      <c r="C500">
        <v>9354444002917</v>
      </c>
      <c r="D500" t="s">
        <v>116</v>
      </c>
      <c r="E500">
        <v>5</v>
      </c>
      <c r="F500" s="1">
        <v>26.34</v>
      </c>
      <c r="G500">
        <v>0</v>
      </c>
      <c r="H500" s="1">
        <v>0</v>
      </c>
      <c r="I500" s="1">
        <v>0</v>
      </c>
      <c r="J500" s="1">
        <v>26.34</v>
      </c>
      <c r="K500" s="1">
        <v>2.66</v>
      </c>
      <c r="L500" s="1">
        <v>29</v>
      </c>
      <c r="M500">
        <v>5</v>
      </c>
    </row>
    <row r="501" spans="1:13" x14ac:dyDescent="0.2">
      <c r="A501" t="s">
        <v>477</v>
      </c>
      <c r="B501" t="s">
        <v>14</v>
      </c>
      <c r="C501">
        <v>9354444002931</v>
      </c>
      <c r="D501" t="s">
        <v>116</v>
      </c>
      <c r="E501">
        <v>5</v>
      </c>
      <c r="F501" s="1">
        <v>26.35</v>
      </c>
      <c r="G501">
        <v>0</v>
      </c>
      <c r="H501" s="1">
        <v>0</v>
      </c>
      <c r="I501" s="1">
        <v>0</v>
      </c>
      <c r="J501" s="1">
        <v>26.35</v>
      </c>
      <c r="K501" s="1">
        <v>2.65</v>
      </c>
      <c r="L501" s="1">
        <v>29</v>
      </c>
      <c r="M501">
        <v>5</v>
      </c>
    </row>
    <row r="502" spans="1:13" x14ac:dyDescent="0.2">
      <c r="A502" t="s">
        <v>121</v>
      </c>
      <c r="B502" t="s">
        <v>14</v>
      </c>
      <c r="C502">
        <v>9354444000005</v>
      </c>
      <c r="D502" t="s">
        <v>116</v>
      </c>
      <c r="E502">
        <v>7</v>
      </c>
      <c r="F502" s="1">
        <v>36.85</v>
      </c>
      <c r="G502">
        <v>0</v>
      </c>
      <c r="H502" s="1">
        <v>0</v>
      </c>
      <c r="I502" s="1">
        <v>0</v>
      </c>
      <c r="J502" s="1">
        <v>36.85</v>
      </c>
      <c r="K502" s="1">
        <v>3.75</v>
      </c>
      <c r="L502" s="1">
        <v>40.6</v>
      </c>
      <c r="M502">
        <v>7</v>
      </c>
    </row>
    <row r="503" spans="1:13" x14ac:dyDescent="0.2">
      <c r="A503" t="s">
        <v>123</v>
      </c>
      <c r="B503" t="s">
        <v>14</v>
      </c>
      <c r="C503">
        <v>9354444000036</v>
      </c>
      <c r="D503" t="s">
        <v>116</v>
      </c>
      <c r="E503">
        <v>9</v>
      </c>
      <c r="F503" s="1">
        <v>47.41</v>
      </c>
      <c r="G503">
        <v>0</v>
      </c>
      <c r="H503" s="1">
        <v>0</v>
      </c>
      <c r="I503" s="1">
        <v>0</v>
      </c>
      <c r="J503" s="1">
        <v>47.41</v>
      </c>
      <c r="K503" s="1">
        <v>4.79</v>
      </c>
      <c r="L503" s="1">
        <v>52.2</v>
      </c>
      <c r="M503">
        <v>9</v>
      </c>
    </row>
    <row r="504" spans="1:13" x14ac:dyDescent="0.2">
      <c r="A504" t="s">
        <v>124</v>
      </c>
      <c r="B504" t="s">
        <v>14</v>
      </c>
      <c r="C504">
        <v>9354444000920</v>
      </c>
      <c r="D504" t="s">
        <v>116</v>
      </c>
      <c r="E504">
        <v>10</v>
      </c>
      <c r="F504" s="1">
        <v>52.79</v>
      </c>
      <c r="G504">
        <v>0</v>
      </c>
      <c r="H504" s="1">
        <v>0</v>
      </c>
      <c r="I504" s="1">
        <v>-1.1599999999999999</v>
      </c>
      <c r="J504" s="1">
        <v>51.63</v>
      </c>
      <c r="K504" s="1">
        <v>5.21</v>
      </c>
      <c r="L504" s="1">
        <v>56.84</v>
      </c>
      <c r="M504">
        <v>10</v>
      </c>
    </row>
    <row r="505" spans="1:13" x14ac:dyDescent="0.2">
      <c r="A505" t="s">
        <v>671</v>
      </c>
      <c r="B505" t="s">
        <v>14</v>
      </c>
      <c r="C505">
        <v>837654485880</v>
      </c>
      <c r="D505" t="s">
        <v>125</v>
      </c>
      <c r="E505">
        <v>7</v>
      </c>
      <c r="F505" s="1">
        <v>103.25</v>
      </c>
      <c r="G505">
        <v>0</v>
      </c>
      <c r="H505" s="1">
        <v>0</v>
      </c>
      <c r="I505" s="1">
        <v>-0.38</v>
      </c>
      <c r="J505" s="1">
        <v>102.87</v>
      </c>
      <c r="K505" s="1">
        <v>0</v>
      </c>
      <c r="L505" s="1">
        <v>102.87</v>
      </c>
      <c r="M505">
        <v>7</v>
      </c>
    </row>
    <row r="506" spans="1:13" x14ac:dyDescent="0.2">
      <c r="A506" t="s">
        <v>1077</v>
      </c>
      <c r="B506" t="s">
        <v>14</v>
      </c>
      <c r="C506">
        <v>9316131607225</v>
      </c>
      <c r="D506" t="s">
        <v>125</v>
      </c>
      <c r="E506">
        <v>1</v>
      </c>
      <c r="F506" s="1">
        <v>6.4</v>
      </c>
      <c r="G506">
        <v>0</v>
      </c>
      <c r="H506" s="1">
        <v>0</v>
      </c>
      <c r="I506" s="1">
        <v>0</v>
      </c>
      <c r="J506" s="1">
        <v>6.4</v>
      </c>
      <c r="K506" s="1">
        <v>0</v>
      </c>
      <c r="L506" s="1">
        <v>6.4</v>
      </c>
      <c r="M506">
        <v>1</v>
      </c>
    </row>
    <row r="507" spans="1:13" x14ac:dyDescent="0.2">
      <c r="A507" t="s">
        <v>1078</v>
      </c>
      <c r="B507" t="s">
        <v>14</v>
      </c>
      <c r="C507">
        <v>9341994000548</v>
      </c>
      <c r="D507" t="s">
        <v>125</v>
      </c>
      <c r="E507">
        <v>2</v>
      </c>
      <c r="F507" s="1">
        <v>16</v>
      </c>
      <c r="G507">
        <v>0</v>
      </c>
      <c r="H507" s="1">
        <v>0</v>
      </c>
      <c r="I507" s="1">
        <v>-0.2</v>
      </c>
      <c r="J507" s="1">
        <v>15.8</v>
      </c>
      <c r="K507" s="1">
        <v>0</v>
      </c>
      <c r="L507" s="1">
        <v>15.8</v>
      </c>
      <c r="M507">
        <v>2</v>
      </c>
    </row>
    <row r="508" spans="1:13" x14ac:dyDescent="0.2">
      <c r="A508" t="s">
        <v>350</v>
      </c>
      <c r="B508" t="s">
        <v>14</v>
      </c>
      <c r="C508">
        <v>9312336048634</v>
      </c>
      <c r="D508" t="s">
        <v>125</v>
      </c>
      <c r="E508">
        <v>3</v>
      </c>
      <c r="F508" s="1">
        <v>12.27</v>
      </c>
      <c r="G508">
        <v>0</v>
      </c>
      <c r="H508" s="1">
        <v>0</v>
      </c>
      <c r="I508" s="1">
        <v>0</v>
      </c>
      <c r="J508" s="1">
        <v>12.27</v>
      </c>
      <c r="K508" s="1">
        <v>1.23</v>
      </c>
      <c r="L508" s="1">
        <v>13.5</v>
      </c>
      <c r="M508">
        <v>3</v>
      </c>
    </row>
    <row r="509" spans="1:13" x14ac:dyDescent="0.2">
      <c r="A509" t="s">
        <v>377</v>
      </c>
      <c r="B509" t="s">
        <v>14</v>
      </c>
      <c r="C509">
        <v>9312336048610</v>
      </c>
      <c r="D509" t="s">
        <v>125</v>
      </c>
      <c r="E509">
        <v>3</v>
      </c>
      <c r="F509" s="1">
        <v>12.35</v>
      </c>
      <c r="G509">
        <v>0</v>
      </c>
      <c r="H509" s="1">
        <v>0</v>
      </c>
      <c r="I509" s="1">
        <v>-0.9</v>
      </c>
      <c r="J509" s="1">
        <v>11.45</v>
      </c>
      <c r="K509" s="1">
        <v>1.1499999999999999</v>
      </c>
      <c r="L509" s="1">
        <v>12.6</v>
      </c>
      <c r="M509">
        <v>3</v>
      </c>
    </row>
    <row r="510" spans="1:13" x14ac:dyDescent="0.2">
      <c r="A510" t="s">
        <v>378</v>
      </c>
      <c r="B510" t="s">
        <v>14</v>
      </c>
      <c r="C510">
        <v>9312336048627</v>
      </c>
      <c r="D510" t="s">
        <v>125</v>
      </c>
      <c r="E510">
        <v>5</v>
      </c>
      <c r="F510" s="1">
        <v>20.53</v>
      </c>
      <c r="G510">
        <v>0</v>
      </c>
      <c r="H510" s="1">
        <v>0</v>
      </c>
      <c r="I510" s="1">
        <v>-0.9</v>
      </c>
      <c r="J510" s="1">
        <v>19.63</v>
      </c>
      <c r="K510" s="1">
        <v>1.97</v>
      </c>
      <c r="L510" s="1">
        <v>21.6</v>
      </c>
      <c r="M510">
        <v>5</v>
      </c>
    </row>
    <row r="511" spans="1:13" x14ac:dyDescent="0.2">
      <c r="A511" t="s">
        <v>822</v>
      </c>
      <c r="B511" t="s">
        <v>14</v>
      </c>
      <c r="C511">
        <v>9350109000373</v>
      </c>
      <c r="D511" t="s">
        <v>125</v>
      </c>
      <c r="E511">
        <v>3</v>
      </c>
      <c r="F511" s="1">
        <v>19.57</v>
      </c>
      <c r="G511">
        <v>0</v>
      </c>
      <c r="H511" s="1">
        <v>0</v>
      </c>
      <c r="I511" s="1">
        <v>-6.95</v>
      </c>
      <c r="J511" s="1">
        <v>12.62</v>
      </c>
      <c r="K511" s="1">
        <v>1.28</v>
      </c>
      <c r="L511" s="1">
        <v>13.9</v>
      </c>
      <c r="M511">
        <v>3</v>
      </c>
    </row>
    <row r="512" spans="1:13" x14ac:dyDescent="0.2">
      <c r="A512" t="s">
        <v>672</v>
      </c>
      <c r="B512" t="s">
        <v>14</v>
      </c>
      <c r="C512">
        <v>9350109000397</v>
      </c>
      <c r="D512" t="s">
        <v>125</v>
      </c>
      <c r="E512">
        <v>9</v>
      </c>
      <c r="F512" s="1">
        <v>56.82</v>
      </c>
      <c r="G512">
        <v>0</v>
      </c>
      <c r="H512" s="1">
        <v>0</v>
      </c>
      <c r="I512" s="1">
        <v>0</v>
      </c>
      <c r="J512" s="1">
        <v>56.82</v>
      </c>
      <c r="K512" s="1">
        <v>5.73</v>
      </c>
      <c r="L512" s="1">
        <v>62.55</v>
      </c>
      <c r="M512">
        <v>9</v>
      </c>
    </row>
    <row r="513" spans="1:13" x14ac:dyDescent="0.2">
      <c r="A513" t="s">
        <v>673</v>
      </c>
      <c r="B513" t="s">
        <v>14</v>
      </c>
      <c r="C513">
        <v>9415748013006</v>
      </c>
      <c r="D513" t="s">
        <v>125</v>
      </c>
      <c r="E513">
        <v>1</v>
      </c>
      <c r="F513" s="1">
        <v>6.35</v>
      </c>
      <c r="G513">
        <v>0</v>
      </c>
      <c r="H513" s="1">
        <v>0</v>
      </c>
      <c r="I513" s="1">
        <v>0</v>
      </c>
      <c r="J513" s="1">
        <v>6.35</v>
      </c>
      <c r="K513" s="1">
        <v>0</v>
      </c>
      <c r="L513" s="1">
        <v>6.35</v>
      </c>
      <c r="M513">
        <v>1</v>
      </c>
    </row>
    <row r="514" spans="1:13" x14ac:dyDescent="0.2">
      <c r="A514" t="s">
        <v>478</v>
      </c>
      <c r="B514" t="s">
        <v>14</v>
      </c>
      <c r="C514">
        <v>9350559000152</v>
      </c>
      <c r="D514" t="s">
        <v>125</v>
      </c>
      <c r="E514">
        <v>1</v>
      </c>
      <c r="F514" s="1">
        <v>11.6</v>
      </c>
      <c r="G514">
        <v>0</v>
      </c>
      <c r="H514" s="1">
        <v>0</v>
      </c>
      <c r="I514" s="1">
        <v>0</v>
      </c>
      <c r="J514" s="1">
        <v>11.6</v>
      </c>
      <c r="K514" s="1">
        <v>0</v>
      </c>
      <c r="L514" s="1">
        <v>11.6</v>
      </c>
      <c r="M514">
        <v>1</v>
      </c>
    </row>
    <row r="515" spans="1:13" x14ac:dyDescent="0.2">
      <c r="A515" t="s">
        <v>556</v>
      </c>
      <c r="B515" t="s">
        <v>14</v>
      </c>
      <c r="C515">
        <v>9350559000220</v>
      </c>
      <c r="D515" t="s">
        <v>125</v>
      </c>
      <c r="E515">
        <v>1</v>
      </c>
      <c r="F515" s="1">
        <v>11.6</v>
      </c>
      <c r="G515">
        <v>0</v>
      </c>
      <c r="H515" s="1">
        <v>0</v>
      </c>
      <c r="I515" s="1">
        <v>0</v>
      </c>
      <c r="J515" s="1">
        <v>11.6</v>
      </c>
      <c r="K515" s="1">
        <v>0</v>
      </c>
      <c r="L515" s="1">
        <v>11.6</v>
      </c>
      <c r="M515">
        <v>1</v>
      </c>
    </row>
    <row r="516" spans="1:13" x14ac:dyDescent="0.2">
      <c r="A516" t="s">
        <v>316</v>
      </c>
      <c r="B516" t="s">
        <v>14</v>
      </c>
      <c r="C516">
        <v>9350559000251</v>
      </c>
      <c r="D516" t="s">
        <v>125</v>
      </c>
      <c r="E516">
        <v>1</v>
      </c>
      <c r="F516" s="1">
        <v>11.6</v>
      </c>
      <c r="G516">
        <v>0</v>
      </c>
      <c r="H516" s="1">
        <v>0</v>
      </c>
      <c r="I516" s="1">
        <v>0</v>
      </c>
      <c r="J516" s="1">
        <v>11.6</v>
      </c>
      <c r="K516" s="1">
        <v>0</v>
      </c>
      <c r="L516" s="1">
        <v>11.6</v>
      </c>
      <c r="M516">
        <v>1</v>
      </c>
    </row>
    <row r="517" spans="1:13" x14ac:dyDescent="0.2">
      <c r="A517" t="s">
        <v>317</v>
      </c>
      <c r="B517" t="s">
        <v>14</v>
      </c>
      <c r="C517">
        <v>9350559000268</v>
      </c>
      <c r="D517" t="s">
        <v>125</v>
      </c>
      <c r="E517">
        <v>4</v>
      </c>
      <c r="F517" s="1">
        <v>51.2</v>
      </c>
      <c r="G517">
        <v>0</v>
      </c>
      <c r="H517" s="1">
        <v>0</v>
      </c>
      <c r="I517" s="1">
        <v>0</v>
      </c>
      <c r="J517" s="1">
        <v>51.2</v>
      </c>
      <c r="K517" s="1">
        <v>0</v>
      </c>
      <c r="L517" s="1">
        <v>51.2</v>
      </c>
      <c r="M517">
        <v>4</v>
      </c>
    </row>
    <row r="518" spans="1:13" x14ac:dyDescent="0.2">
      <c r="A518" t="s">
        <v>1079</v>
      </c>
      <c r="B518" t="s">
        <v>14</v>
      </c>
      <c r="C518">
        <v>9347964000129</v>
      </c>
      <c r="D518" t="s">
        <v>125</v>
      </c>
      <c r="E518">
        <v>2</v>
      </c>
      <c r="F518" s="1">
        <v>27.2</v>
      </c>
      <c r="G518">
        <v>0</v>
      </c>
      <c r="H518" s="1">
        <v>0</v>
      </c>
      <c r="I518" s="1">
        <v>0</v>
      </c>
      <c r="J518" s="1">
        <v>27.2</v>
      </c>
      <c r="K518" s="1">
        <v>0</v>
      </c>
      <c r="L518" s="1">
        <v>27.2</v>
      </c>
      <c r="M518">
        <v>2</v>
      </c>
    </row>
    <row r="519" spans="1:13" x14ac:dyDescent="0.2">
      <c r="A519" t="s">
        <v>479</v>
      </c>
      <c r="B519" t="s">
        <v>14</v>
      </c>
      <c r="C519">
        <v>9369999306366</v>
      </c>
      <c r="D519" t="s">
        <v>125</v>
      </c>
      <c r="E519">
        <v>4</v>
      </c>
      <c r="F519" s="1">
        <v>20.350000000000001</v>
      </c>
      <c r="G519">
        <v>0</v>
      </c>
      <c r="H519" s="1">
        <v>0</v>
      </c>
      <c r="I519" s="1">
        <v>0</v>
      </c>
      <c r="J519" s="1">
        <v>20.350000000000001</v>
      </c>
      <c r="K519" s="1">
        <v>2.0499999999999998</v>
      </c>
      <c r="L519" s="1">
        <v>22.4</v>
      </c>
      <c r="M519">
        <v>4</v>
      </c>
    </row>
    <row r="520" spans="1:13" x14ac:dyDescent="0.2">
      <c r="A520" t="s">
        <v>557</v>
      </c>
      <c r="B520" t="s">
        <v>14</v>
      </c>
      <c r="C520">
        <v>754523531434</v>
      </c>
      <c r="D520" t="s">
        <v>125</v>
      </c>
      <c r="E520">
        <v>1</v>
      </c>
      <c r="F520" s="1">
        <v>20.9</v>
      </c>
      <c r="G520">
        <v>0</v>
      </c>
      <c r="H520" s="1">
        <v>0</v>
      </c>
      <c r="I520" s="1">
        <v>0</v>
      </c>
      <c r="J520" s="1">
        <v>20.9</v>
      </c>
      <c r="K520" s="1">
        <v>0</v>
      </c>
      <c r="L520" s="1">
        <v>20.9</v>
      </c>
      <c r="M520">
        <v>1</v>
      </c>
    </row>
    <row r="521" spans="1:13" x14ac:dyDescent="0.2">
      <c r="A521" t="s">
        <v>823</v>
      </c>
      <c r="B521" t="s">
        <v>14</v>
      </c>
      <c r="C521">
        <v>754523531403</v>
      </c>
      <c r="D521" t="s">
        <v>125</v>
      </c>
      <c r="E521">
        <v>1</v>
      </c>
      <c r="F521" s="1">
        <v>20.9</v>
      </c>
      <c r="G521">
        <v>0</v>
      </c>
      <c r="H521" s="1">
        <v>0</v>
      </c>
      <c r="I521" s="1">
        <v>0</v>
      </c>
      <c r="J521" s="1">
        <v>20.9</v>
      </c>
      <c r="K521" s="1">
        <v>0</v>
      </c>
      <c r="L521" s="1">
        <v>20.9</v>
      </c>
      <c r="M521">
        <v>1</v>
      </c>
    </row>
    <row r="522" spans="1:13" x14ac:dyDescent="0.2">
      <c r="A522" t="s">
        <v>1080</v>
      </c>
      <c r="B522" t="s">
        <v>14</v>
      </c>
      <c r="C522">
        <v>754523531441</v>
      </c>
      <c r="D522" t="s">
        <v>125</v>
      </c>
      <c r="E522">
        <v>1</v>
      </c>
      <c r="F522" s="1">
        <v>20.9</v>
      </c>
      <c r="G522">
        <v>0</v>
      </c>
      <c r="H522" s="1">
        <v>0</v>
      </c>
      <c r="I522" s="1">
        <v>0</v>
      </c>
      <c r="J522" s="1">
        <v>20.9</v>
      </c>
      <c r="K522" s="1">
        <v>0</v>
      </c>
      <c r="L522" s="1">
        <v>20.9</v>
      </c>
      <c r="M522">
        <v>1</v>
      </c>
    </row>
    <row r="523" spans="1:13" x14ac:dyDescent="0.2">
      <c r="A523" t="s">
        <v>674</v>
      </c>
      <c r="B523" t="s">
        <v>14</v>
      </c>
      <c r="C523">
        <v>9369998005932</v>
      </c>
      <c r="D523" t="s">
        <v>125</v>
      </c>
      <c r="E523">
        <v>3</v>
      </c>
      <c r="F523" s="1">
        <v>41.85</v>
      </c>
      <c r="G523">
        <v>0</v>
      </c>
      <c r="H523" s="1">
        <v>0</v>
      </c>
      <c r="I523" s="1">
        <v>0</v>
      </c>
      <c r="J523" s="1">
        <v>41.85</v>
      </c>
      <c r="K523" s="1">
        <v>0</v>
      </c>
      <c r="L523" s="1">
        <v>41.85</v>
      </c>
      <c r="M523">
        <v>3</v>
      </c>
    </row>
    <row r="524" spans="1:13" x14ac:dyDescent="0.2">
      <c r="A524" t="s">
        <v>1081</v>
      </c>
      <c r="B524" t="s">
        <v>14</v>
      </c>
      <c r="C524">
        <v>9352642000728</v>
      </c>
      <c r="D524" t="s">
        <v>125</v>
      </c>
      <c r="E524">
        <v>1</v>
      </c>
      <c r="F524" s="1">
        <v>8.25</v>
      </c>
      <c r="G524">
        <v>0</v>
      </c>
      <c r="H524" s="1">
        <v>0</v>
      </c>
      <c r="I524" s="1">
        <v>0</v>
      </c>
      <c r="J524" s="1">
        <v>8.25</v>
      </c>
      <c r="K524" s="1">
        <v>0</v>
      </c>
      <c r="L524" s="1">
        <v>8.25</v>
      </c>
      <c r="M524">
        <v>1</v>
      </c>
    </row>
    <row r="525" spans="1:13" x14ac:dyDescent="0.2">
      <c r="A525" t="s">
        <v>425</v>
      </c>
      <c r="B525" t="s">
        <v>14</v>
      </c>
      <c r="C525">
        <v>744109328428</v>
      </c>
      <c r="D525" t="s">
        <v>125</v>
      </c>
      <c r="E525">
        <v>3</v>
      </c>
      <c r="F525" s="1">
        <v>17.55</v>
      </c>
      <c r="G525">
        <v>0</v>
      </c>
      <c r="H525" s="1">
        <v>0</v>
      </c>
      <c r="I525" s="1">
        <v>0</v>
      </c>
      <c r="J525" s="1">
        <v>17.55</v>
      </c>
      <c r="K525" s="1">
        <v>0</v>
      </c>
      <c r="L525" s="1">
        <v>17.55</v>
      </c>
      <c r="M525">
        <v>3</v>
      </c>
    </row>
    <row r="526" spans="1:13" x14ac:dyDescent="0.2">
      <c r="A526" t="s">
        <v>675</v>
      </c>
      <c r="B526" t="s">
        <v>14</v>
      </c>
      <c r="C526">
        <v>744109328404</v>
      </c>
      <c r="D526" t="s">
        <v>125</v>
      </c>
      <c r="E526">
        <v>6</v>
      </c>
      <c r="F526" s="1">
        <v>35.1</v>
      </c>
      <c r="G526">
        <v>0</v>
      </c>
      <c r="H526" s="1">
        <v>0</v>
      </c>
      <c r="I526" s="1">
        <v>0</v>
      </c>
      <c r="J526" s="1">
        <v>35.1</v>
      </c>
      <c r="K526" s="1">
        <v>0</v>
      </c>
      <c r="L526" s="1">
        <v>35.1</v>
      </c>
      <c r="M526">
        <v>6</v>
      </c>
    </row>
    <row r="527" spans="1:13" x14ac:dyDescent="0.2">
      <c r="A527" t="s">
        <v>558</v>
      </c>
      <c r="B527" t="s">
        <v>14</v>
      </c>
      <c r="C527">
        <v>744109328411</v>
      </c>
      <c r="D527" t="s">
        <v>125</v>
      </c>
      <c r="E527">
        <v>2</v>
      </c>
      <c r="F527" s="1">
        <v>11.7</v>
      </c>
      <c r="G527">
        <v>0</v>
      </c>
      <c r="H527" s="1">
        <v>0</v>
      </c>
      <c r="I527" s="1">
        <v>0</v>
      </c>
      <c r="J527" s="1">
        <v>11.7</v>
      </c>
      <c r="K527" s="1">
        <v>0</v>
      </c>
      <c r="L527" s="1">
        <v>11.7</v>
      </c>
      <c r="M527">
        <v>2</v>
      </c>
    </row>
    <row r="528" spans="1:13" x14ac:dyDescent="0.2">
      <c r="A528" t="s">
        <v>559</v>
      </c>
      <c r="B528" t="s">
        <v>14</v>
      </c>
      <c r="C528">
        <v>744109328435</v>
      </c>
      <c r="D528" t="s">
        <v>125</v>
      </c>
      <c r="E528">
        <v>5</v>
      </c>
      <c r="F528" s="1">
        <v>29.25</v>
      </c>
      <c r="G528">
        <v>0</v>
      </c>
      <c r="H528" s="1">
        <v>0</v>
      </c>
      <c r="I528" s="1">
        <v>0</v>
      </c>
      <c r="J528" s="1">
        <v>29.25</v>
      </c>
      <c r="K528" s="1">
        <v>0</v>
      </c>
      <c r="L528" s="1">
        <v>29.25</v>
      </c>
      <c r="M528">
        <v>5</v>
      </c>
    </row>
    <row r="529" spans="1:13" x14ac:dyDescent="0.2">
      <c r="A529" t="s">
        <v>676</v>
      </c>
      <c r="B529" t="s">
        <v>14</v>
      </c>
      <c r="C529">
        <v>769807248267</v>
      </c>
      <c r="D529" t="s">
        <v>125</v>
      </c>
      <c r="E529">
        <v>2</v>
      </c>
      <c r="F529" s="1">
        <v>10.8</v>
      </c>
      <c r="G529">
        <v>0</v>
      </c>
      <c r="H529" s="1">
        <v>0</v>
      </c>
      <c r="I529" s="1">
        <v>0</v>
      </c>
      <c r="J529" s="1">
        <v>10.8</v>
      </c>
      <c r="K529" s="1">
        <v>1.1000000000000001</v>
      </c>
      <c r="L529" s="1">
        <v>11.9</v>
      </c>
      <c r="M529">
        <v>2</v>
      </c>
    </row>
    <row r="530" spans="1:13" x14ac:dyDescent="0.2">
      <c r="A530" t="s">
        <v>824</v>
      </c>
      <c r="B530" t="s">
        <v>14</v>
      </c>
      <c r="C530">
        <v>80687033799</v>
      </c>
      <c r="D530" t="s">
        <v>125</v>
      </c>
      <c r="E530">
        <v>2</v>
      </c>
      <c r="F530" s="1">
        <v>42</v>
      </c>
      <c r="G530">
        <v>0</v>
      </c>
      <c r="H530" s="1">
        <v>0</v>
      </c>
      <c r="I530" s="1">
        <v>0</v>
      </c>
      <c r="J530" s="1">
        <v>42</v>
      </c>
      <c r="K530" s="1">
        <v>0</v>
      </c>
      <c r="L530" s="1">
        <v>42</v>
      </c>
      <c r="M530">
        <v>2</v>
      </c>
    </row>
    <row r="531" spans="1:13" x14ac:dyDescent="0.2">
      <c r="A531" t="s">
        <v>480</v>
      </c>
      <c r="B531" t="s">
        <v>14</v>
      </c>
      <c r="C531">
        <v>80687033980</v>
      </c>
      <c r="D531" t="s">
        <v>125</v>
      </c>
      <c r="E531">
        <v>5</v>
      </c>
      <c r="F531" s="1">
        <v>59.5</v>
      </c>
      <c r="G531">
        <v>0</v>
      </c>
      <c r="H531" s="1">
        <v>0</v>
      </c>
      <c r="I531" s="1">
        <v>-0.61</v>
      </c>
      <c r="J531" s="1">
        <v>58.89</v>
      </c>
      <c r="K531" s="1">
        <v>0</v>
      </c>
      <c r="L531" s="1">
        <v>58.89</v>
      </c>
      <c r="M531">
        <v>5</v>
      </c>
    </row>
    <row r="532" spans="1:13" x14ac:dyDescent="0.2">
      <c r="A532" t="s">
        <v>825</v>
      </c>
      <c r="B532" t="s">
        <v>14</v>
      </c>
      <c r="C532">
        <v>80687033812</v>
      </c>
      <c r="D532" t="s">
        <v>125</v>
      </c>
      <c r="E532">
        <v>4</v>
      </c>
      <c r="F532" s="1">
        <v>84</v>
      </c>
      <c r="G532">
        <v>0</v>
      </c>
      <c r="H532" s="1">
        <v>0</v>
      </c>
      <c r="I532" s="1">
        <v>-5</v>
      </c>
      <c r="J532" s="1">
        <v>79</v>
      </c>
      <c r="K532" s="1">
        <v>0</v>
      </c>
      <c r="L532" s="1">
        <v>79</v>
      </c>
      <c r="M532">
        <v>4</v>
      </c>
    </row>
    <row r="533" spans="1:13" x14ac:dyDescent="0.2">
      <c r="A533" t="s">
        <v>481</v>
      </c>
      <c r="B533" t="s">
        <v>14</v>
      </c>
      <c r="C533">
        <v>80687033843</v>
      </c>
      <c r="D533" t="s">
        <v>125</v>
      </c>
      <c r="E533">
        <v>1</v>
      </c>
      <c r="F533" s="1">
        <v>21</v>
      </c>
      <c r="G533">
        <v>0</v>
      </c>
      <c r="H533" s="1">
        <v>0</v>
      </c>
      <c r="I533" s="1">
        <v>0</v>
      </c>
      <c r="J533" s="1">
        <v>21</v>
      </c>
      <c r="K533" s="1">
        <v>0</v>
      </c>
      <c r="L533" s="1">
        <v>21</v>
      </c>
      <c r="M533">
        <v>1</v>
      </c>
    </row>
    <row r="534" spans="1:13" x14ac:dyDescent="0.2">
      <c r="A534" t="s">
        <v>379</v>
      </c>
      <c r="B534" t="s">
        <v>14</v>
      </c>
      <c r="C534">
        <v>9369998064823</v>
      </c>
      <c r="D534" t="s">
        <v>125</v>
      </c>
      <c r="E534">
        <v>13</v>
      </c>
      <c r="F534" s="1">
        <v>76.23</v>
      </c>
      <c r="G534">
        <v>0</v>
      </c>
      <c r="H534" s="1">
        <v>0</v>
      </c>
      <c r="I534" s="1">
        <v>-0.72</v>
      </c>
      <c r="J534" s="1">
        <v>75.510000000000005</v>
      </c>
      <c r="K534" s="1">
        <v>7.62</v>
      </c>
      <c r="L534" s="1">
        <v>83.13</v>
      </c>
      <c r="M534">
        <v>13</v>
      </c>
    </row>
    <row r="535" spans="1:13" x14ac:dyDescent="0.2">
      <c r="A535" t="s">
        <v>351</v>
      </c>
      <c r="B535" t="s">
        <v>14</v>
      </c>
      <c r="C535">
        <v>9369998505890</v>
      </c>
      <c r="D535" t="s">
        <v>125</v>
      </c>
      <c r="E535">
        <v>2</v>
      </c>
      <c r="F535" s="1">
        <v>11.72</v>
      </c>
      <c r="G535">
        <v>0</v>
      </c>
      <c r="H535" s="1">
        <v>0</v>
      </c>
      <c r="I535" s="1">
        <v>0</v>
      </c>
      <c r="J535" s="1">
        <v>11.72</v>
      </c>
      <c r="K535" s="1">
        <v>1.18</v>
      </c>
      <c r="L535" s="1">
        <v>12.9</v>
      </c>
      <c r="M535">
        <v>2</v>
      </c>
    </row>
    <row r="536" spans="1:13" x14ac:dyDescent="0.2">
      <c r="A536" t="s">
        <v>1082</v>
      </c>
      <c r="B536" t="s">
        <v>14</v>
      </c>
      <c r="C536">
        <v>39978024527</v>
      </c>
      <c r="D536" t="s">
        <v>126</v>
      </c>
      <c r="E536">
        <v>1</v>
      </c>
      <c r="F536" s="1">
        <v>16.95</v>
      </c>
      <c r="G536">
        <v>0</v>
      </c>
      <c r="H536" s="1">
        <v>0</v>
      </c>
      <c r="I536" s="1">
        <v>0</v>
      </c>
      <c r="J536" s="1">
        <v>16.95</v>
      </c>
      <c r="K536" s="1">
        <v>0</v>
      </c>
      <c r="L536" s="1">
        <v>16.95</v>
      </c>
      <c r="M536">
        <v>1</v>
      </c>
    </row>
    <row r="537" spans="1:13" x14ac:dyDescent="0.2">
      <c r="A537" t="s">
        <v>1083</v>
      </c>
      <c r="B537" t="s">
        <v>14</v>
      </c>
      <c r="C537">
        <v>39978113139</v>
      </c>
      <c r="D537" t="s">
        <v>126</v>
      </c>
      <c r="E537">
        <v>1</v>
      </c>
      <c r="F537" s="1">
        <v>13.1</v>
      </c>
      <c r="G537">
        <v>0</v>
      </c>
      <c r="H537" s="1">
        <v>0</v>
      </c>
      <c r="I537" s="1">
        <v>0</v>
      </c>
      <c r="J537" s="1">
        <v>13.1</v>
      </c>
      <c r="K537" s="1">
        <v>0</v>
      </c>
      <c r="L537" s="1">
        <v>13.1</v>
      </c>
      <c r="M537">
        <v>1</v>
      </c>
    </row>
    <row r="538" spans="1:13" x14ac:dyDescent="0.2">
      <c r="A538" t="s">
        <v>1084</v>
      </c>
      <c r="B538" t="s">
        <v>14</v>
      </c>
      <c r="C538">
        <v>39978034533</v>
      </c>
      <c r="D538" t="s">
        <v>126</v>
      </c>
      <c r="E538">
        <v>3</v>
      </c>
      <c r="F538" s="1">
        <v>44.7</v>
      </c>
      <c r="G538">
        <v>0</v>
      </c>
      <c r="H538" s="1">
        <v>0</v>
      </c>
      <c r="I538" s="1">
        <v>0</v>
      </c>
      <c r="J538" s="1">
        <v>44.7</v>
      </c>
      <c r="K538" s="1">
        <v>0</v>
      </c>
      <c r="L538" s="1">
        <v>44.7</v>
      </c>
      <c r="M538">
        <v>3</v>
      </c>
    </row>
    <row r="539" spans="1:13" x14ac:dyDescent="0.2">
      <c r="A539" t="s">
        <v>1085</v>
      </c>
      <c r="B539" t="s">
        <v>14</v>
      </c>
      <c r="C539">
        <v>39978002839</v>
      </c>
      <c r="D539" t="s">
        <v>126</v>
      </c>
      <c r="E539">
        <v>1</v>
      </c>
      <c r="F539" s="1">
        <v>14.3</v>
      </c>
      <c r="G539">
        <v>0</v>
      </c>
      <c r="H539" s="1">
        <v>0</v>
      </c>
      <c r="I539" s="1">
        <v>0</v>
      </c>
      <c r="J539" s="1">
        <v>14.3</v>
      </c>
      <c r="K539" s="1">
        <v>0</v>
      </c>
      <c r="L539" s="1">
        <v>14.3</v>
      </c>
      <c r="M539">
        <v>1</v>
      </c>
    </row>
    <row r="540" spans="1:13" x14ac:dyDescent="0.2">
      <c r="A540" t="s">
        <v>826</v>
      </c>
      <c r="B540" t="s">
        <v>14</v>
      </c>
      <c r="C540">
        <v>39978114624</v>
      </c>
      <c r="D540" t="s">
        <v>126</v>
      </c>
      <c r="E540">
        <v>2</v>
      </c>
      <c r="F540" s="1">
        <v>28.6</v>
      </c>
      <c r="G540">
        <v>0</v>
      </c>
      <c r="H540" s="1">
        <v>0</v>
      </c>
      <c r="I540" s="1">
        <v>0</v>
      </c>
      <c r="J540" s="1">
        <v>28.6</v>
      </c>
      <c r="K540" s="1">
        <v>0</v>
      </c>
      <c r="L540" s="1">
        <v>28.6</v>
      </c>
      <c r="M540">
        <v>2</v>
      </c>
    </row>
    <row r="541" spans="1:13" x14ac:dyDescent="0.2">
      <c r="A541" t="s">
        <v>1086</v>
      </c>
      <c r="B541" t="s">
        <v>14</v>
      </c>
      <c r="C541">
        <v>39978025258</v>
      </c>
      <c r="D541" t="s">
        <v>126</v>
      </c>
      <c r="E541">
        <v>1</v>
      </c>
      <c r="F541" s="1">
        <v>13.7</v>
      </c>
      <c r="G541">
        <v>0</v>
      </c>
      <c r="H541" s="1">
        <v>0</v>
      </c>
      <c r="I541" s="1">
        <v>0</v>
      </c>
      <c r="J541" s="1">
        <v>13.7</v>
      </c>
      <c r="K541" s="1">
        <v>0</v>
      </c>
      <c r="L541" s="1">
        <v>13.7</v>
      </c>
      <c r="M541">
        <v>1</v>
      </c>
    </row>
    <row r="542" spans="1:13" x14ac:dyDescent="0.2">
      <c r="A542" t="s">
        <v>1087</v>
      </c>
      <c r="B542" t="s">
        <v>14</v>
      </c>
      <c r="C542">
        <v>39978113115</v>
      </c>
      <c r="D542" t="s">
        <v>126</v>
      </c>
      <c r="E542">
        <v>3</v>
      </c>
      <c r="F542" s="1">
        <v>41.55</v>
      </c>
      <c r="G542">
        <v>0</v>
      </c>
      <c r="H542" s="1">
        <v>0</v>
      </c>
      <c r="I542" s="1">
        <v>0</v>
      </c>
      <c r="J542" s="1">
        <v>41.55</v>
      </c>
      <c r="K542" s="1">
        <v>0</v>
      </c>
      <c r="L542" s="1">
        <v>41.55</v>
      </c>
      <c r="M542">
        <v>3</v>
      </c>
    </row>
    <row r="543" spans="1:13" x14ac:dyDescent="0.2">
      <c r="A543" t="s">
        <v>1088</v>
      </c>
      <c r="B543" t="s">
        <v>14</v>
      </c>
      <c r="C543">
        <v>9319934000194</v>
      </c>
      <c r="D543" t="s">
        <v>126</v>
      </c>
      <c r="E543">
        <v>1</v>
      </c>
      <c r="F543" s="1">
        <v>8.1999999999999993</v>
      </c>
      <c r="G543">
        <v>0</v>
      </c>
      <c r="H543" s="1">
        <v>0</v>
      </c>
      <c r="I543" s="1">
        <v>0</v>
      </c>
      <c r="J543" s="1">
        <v>8.1999999999999993</v>
      </c>
      <c r="K543" s="1">
        <v>0</v>
      </c>
      <c r="L543" s="1">
        <v>8.1999999999999993</v>
      </c>
      <c r="M543">
        <v>1</v>
      </c>
    </row>
    <row r="544" spans="1:13" x14ac:dyDescent="0.2">
      <c r="A544" t="s">
        <v>827</v>
      </c>
      <c r="B544" t="s">
        <v>14</v>
      </c>
      <c r="C544">
        <v>9339337004667</v>
      </c>
      <c r="D544" t="s">
        <v>126</v>
      </c>
      <c r="E544">
        <v>2</v>
      </c>
      <c r="F544" s="1">
        <v>11.9</v>
      </c>
      <c r="G544">
        <v>0</v>
      </c>
      <c r="H544" s="1">
        <v>0</v>
      </c>
      <c r="I544" s="1">
        <v>0</v>
      </c>
      <c r="J544" s="1">
        <v>11.9</v>
      </c>
      <c r="K544" s="1">
        <v>0</v>
      </c>
      <c r="L544" s="1">
        <v>11.9</v>
      </c>
      <c r="M544">
        <v>2</v>
      </c>
    </row>
    <row r="545" spans="1:13" x14ac:dyDescent="0.2">
      <c r="A545" t="s">
        <v>1089</v>
      </c>
      <c r="B545" t="s">
        <v>14</v>
      </c>
      <c r="C545">
        <v>9313958005890</v>
      </c>
      <c r="D545" t="s">
        <v>126</v>
      </c>
      <c r="E545">
        <v>1</v>
      </c>
      <c r="F545" s="1">
        <v>11.45</v>
      </c>
      <c r="G545">
        <v>0</v>
      </c>
      <c r="H545" s="1">
        <v>0</v>
      </c>
      <c r="I545" s="1">
        <v>0</v>
      </c>
      <c r="J545" s="1">
        <v>11.45</v>
      </c>
      <c r="K545" s="1">
        <v>0</v>
      </c>
      <c r="L545" s="1">
        <v>11.45</v>
      </c>
      <c r="M545">
        <v>1</v>
      </c>
    </row>
    <row r="546" spans="1:13" x14ac:dyDescent="0.2">
      <c r="A546" t="s">
        <v>828</v>
      </c>
      <c r="B546" t="s">
        <v>14</v>
      </c>
      <c r="C546">
        <v>9332834002600</v>
      </c>
      <c r="D546" t="s">
        <v>126</v>
      </c>
      <c r="E546">
        <v>1</v>
      </c>
      <c r="F546" s="1">
        <v>22.1</v>
      </c>
      <c r="G546">
        <v>0</v>
      </c>
      <c r="H546" s="1">
        <v>0</v>
      </c>
      <c r="I546" s="1">
        <v>0</v>
      </c>
      <c r="J546" s="1">
        <v>22.1</v>
      </c>
      <c r="K546" s="1">
        <v>0</v>
      </c>
      <c r="L546" s="1">
        <v>22.1</v>
      </c>
      <c r="M546">
        <v>1</v>
      </c>
    </row>
    <row r="547" spans="1:13" x14ac:dyDescent="0.2">
      <c r="A547" t="s">
        <v>829</v>
      </c>
      <c r="B547" t="s">
        <v>14</v>
      </c>
      <c r="C547">
        <v>9322428002888</v>
      </c>
      <c r="D547" t="s">
        <v>126</v>
      </c>
      <c r="E547">
        <v>1</v>
      </c>
      <c r="F547" s="1">
        <v>21.5</v>
      </c>
      <c r="G547">
        <v>0</v>
      </c>
      <c r="H547" s="1">
        <v>0</v>
      </c>
      <c r="I547" s="1">
        <v>0</v>
      </c>
      <c r="J547" s="1">
        <v>21.5</v>
      </c>
      <c r="K547" s="1">
        <v>0</v>
      </c>
      <c r="L547" s="1">
        <v>21.5</v>
      </c>
      <c r="M547">
        <v>1</v>
      </c>
    </row>
    <row r="548" spans="1:13" x14ac:dyDescent="0.2">
      <c r="A548" t="s">
        <v>1090</v>
      </c>
      <c r="B548" t="s">
        <v>14</v>
      </c>
      <c r="C548">
        <v>9356689000017</v>
      </c>
      <c r="D548" t="s">
        <v>1091</v>
      </c>
      <c r="E548">
        <v>1</v>
      </c>
      <c r="F548" s="1">
        <v>58.98</v>
      </c>
      <c r="G548">
        <v>0</v>
      </c>
      <c r="H548" s="1">
        <v>0</v>
      </c>
      <c r="I548" s="1">
        <v>0</v>
      </c>
      <c r="J548" s="1">
        <v>58.98</v>
      </c>
      <c r="K548" s="1">
        <v>5.97</v>
      </c>
      <c r="L548" s="1">
        <v>64.95</v>
      </c>
      <c r="M548">
        <v>1</v>
      </c>
    </row>
    <row r="549" spans="1:13" x14ac:dyDescent="0.2">
      <c r="A549" t="s">
        <v>1092</v>
      </c>
      <c r="B549" t="s">
        <v>14</v>
      </c>
      <c r="C549">
        <v>100000012376</v>
      </c>
      <c r="D549" t="s">
        <v>127</v>
      </c>
      <c r="E549">
        <v>1</v>
      </c>
      <c r="F549" s="1">
        <v>3.5</v>
      </c>
      <c r="G549">
        <v>0</v>
      </c>
      <c r="H549" s="1">
        <v>0</v>
      </c>
      <c r="I549" s="1">
        <v>-0.46</v>
      </c>
      <c r="J549" s="1">
        <v>3.04</v>
      </c>
      <c r="K549" s="1">
        <v>0</v>
      </c>
      <c r="L549" s="1">
        <v>3.04</v>
      </c>
      <c r="M549">
        <v>1</v>
      </c>
    </row>
    <row r="550" spans="1:13" x14ac:dyDescent="0.2">
      <c r="A550" t="s">
        <v>1093</v>
      </c>
      <c r="B550" t="s">
        <v>14</v>
      </c>
      <c r="C550">
        <v>100000012383</v>
      </c>
      <c r="D550" t="s">
        <v>127</v>
      </c>
      <c r="E550">
        <v>1</v>
      </c>
      <c r="F550" s="1">
        <v>3.5</v>
      </c>
      <c r="G550">
        <v>0</v>
      </c>
      <c r="H550" s="1">
        <v>0</v>
      </c>
      <c r="I550" s="1">
        <v>-0.46</v>
      </c>
      <c r="J550" s="1">
        <v>3.04</v>
      </c>
      <c r="K550" s="1">
        <v>0</v>
      </c>
      <c r="L550" s="1">
        <v>3.04</v>
      </c>
      <c r="M550">
        <v>1</v>
      </c>
    </row>
    <row r="551" spans="1:13" x14ac:dyDescent="0.2">
      <c r="A551" t="s">
        <v>677</v>
      </c>
      <c r="B551" t="s">
        <v>14</v>
      </c>
      <c r="C551">
        <v>100000007204</v>
      </c>
      <c r="D551" t="s">
        <v>127</v>
      </c>
      <c r="E551">
        <v>2</v>
      </c>
      <c r="F551" s="1">
        <v>5.6</v>
      </c>
      <c r="G551">
        <v>0</v>
      </c>
      <c r="H551" s="1">
        <v>0</v>
      </c>
      <c r="I551" s="1">
        <v>-0.18</v>
      </c>
      <c r="J551" s="1">
        <v>5.42</v>
      </c>
      <c r="K551" s="1">
        <v>0</v>
      </c>
      <c r="L551" s="1">
        <v>5.42</v>
      </c>
      <c r="M551">
        <v>2</v>
      </c>
    </row>
    <row r="552" spans="1:13" x14ac:dyDescent="0.2">
      <c r="A552" t="s">
        <v>560</v>
      </c>
      <c r="B552" t="s">
        <v>14</v>
      </c>
      <c r="C552">
        <v>9344060000015</v>
      </c>
      <c r="D552" t="s">
        <v>128</v>
      </c>
      <c r="E552">
        <v>1</v>
      </c>
      <c r="F552" s="1">
        <v>10.9</v>
      </c>
      <c r="G552">
        <v>0</v>
      </c>
      <c r="H552" s="1">
        <v>0</v>
      </c>
      <c r="I552" s="1">
        <v>-0.34</v>
      </c>
      <c r="J552" s="1">
        <v>10.56</v>
      </c>
      <c r="K552" s="1">
        <v>0</v>
      </c>
      <c r="L552" s="1">
        <v>10.56</v>
      </c>
      <c r="M552">
        <v>1</v>
      </c>
    </row>
    <row r="553" spans="1:13" x14ac:dyDescent="0.2">
      <c r="A553" t="s">
        <v>426</v>
      </c>
      <c r="B553" t="s">
        <v>14</v>
      </c>
      <c r="C553">
        <v>9344060000008</v>
      </c>
      <c r="D553" t="s">
        <v>128</v>
      </c>
      <c r="E553">
        <v>1</v>
      </c>
      <c r="F553" s="1">
        <v>10.9</v>
      </c>
      <c r="G553">
        <v>0</v>
      </c>
      <c r="H553" s="1">
        <v>0</v>
      </c>
      <c r="I553" s="1">
        <v>0</v>
      </c>
      <c r="J553" s="1">
        <v>10.9</v>
      </c>
      <c r="K553" s="1">
        <v>0</v>
      </c>
      <c r="L553" s="1">
        <v>10.9</v>
      </c>
      <c r="M553">
        <v>1</v>
      </c>
    </row>
    <row r="554" spans="1:13" x14ac:dyDescent="0.2">
      <c r="A554" t="s">
        <v>678</v>
      </c>
      <c r="B554" t="s">
        <v>14</v>
      </c>
      <c r="C554">
        <v>9339204004547</v>
      </c>
      <c r="D554" t="s">
        <v>128</v>
      </c>
      <c r="E554">
        <v>5</v>
      </c>
      <c r="F554" s="1">
        <v>126.75</v>
      </c>
      <c r="G554">
        <v>0</v>
      </c>
      <c r="H554" s="1">
        <v>0</v>
      </c>
      <c r="I554" s="1">
        <v>0</v>
      </c>
      <c r="J554" s="1">
        <v>126.75</v>
      </c>
      <c r="K554" s="1">
        <v>0</v>
      </c>
      <c r="L554" s="1">
        <v>126.75</v>
      </c>
      <c r="M554">
        <v>5</v>
      </c>
    </row>
    <row r="555" spans="1:13" x14ac:dyDescent="0.2">
      <c r="A555" t="s">
        <v>1094</v>
      </c>
      <c r="B555" t="s">
        <v>14</v>
      </c>
      <c r="C555">
        <v>9339204001300</v>
      </c>
      <c r="D555" t="s">
        <v>128</v>
      </c>
      <c r="E555">
        <v>1</v>
      </c>
      <c r="F555" s="1">
        <v>13.1</v>
      </c>
      <c r="G555">
        <v>0</v>
      </c>
      <c r="H555" s="1">
        <v>0</v>
      </c>
      <c r="I555" s="1">
        <v>0</v>
      </c>
      <c r="J555" s="1">
        <v>13.1</v>
      </c>
      <c r="K555" s="1">
        <v>0</v>
      </c>
      <c r="L555" s="1">
        <v>13.1</v>
      </c>
      <c r="M555">
        <v>1</v>
      </c>
    </row>
    <row r="556" spans="1:13" x14ac:dyDescent="0.2">
      <c r="A556" t="s">
        <v>679</v>
      </c>
      <c r="B556" t="s">
        <v>14</v>
      </c>
      <c r="C556">
        <v>9339204000907</v>
      </c>
      <c r="D556" t="s">
        <v>128</v>
      </c>
      <c r="E556">
        <v>1</v>
      </c>
      <c r="F556" s="1">
        <v>11.95</v>
      </c>
      <c r="G556">
        <v>0</v>
      </c>
      <c r="H556" s="1">
        <v>0</v>
      </c>
      <c r="I556" s="1">
        <v>0</v>
      </c>
      <c r="J556" s="1">
        <v>11.95</v>
      </c>
      <c r="K556" s="1">
        <v>0</v>
      </c>
      <c r="L556" s="1">
        <v>11.95</v>
      </c>
      <c r="M556">
        <v>1</v>
      </c>
    </row>
    <row r="557" spans="1:13" x14ac:dyDescent="0.2">
      <c r="A557" t="s">
        <v>680</v>
      </c>
      <c r="B557" t="s">
        <v>14</v>
      </c>
      <c r="C557">
        <v>9339204000914</v>
      </c>
      <c r="D557" t="s">
        <v>128</v>
      </c>
      <c r="E557">
        <v>3</v>
      </c>
      <c r="F557" s="1">
        <v>34.35</v>
      </c>
      <c r="G557">
        <v>0</v>
      </c>
      <c r="H557" s="1">
        <v>0</v>
      </c>
      <c r="I557" s="1">
        <v>0</v>
      </c>
      <c r="J557" s="1">
        <v>34.35</v>
      </c>
      <c r="K557" s="1">
        <v>0</v>
      </c>
      <c r="L557" s="1">
        <v>34.35</v>
      </c>
      <c r="M557">
        <v>3</v>
      </c>
    </row>
    <row r="558" spans="1:13" x14ac:dyDescent="0.2">
      <c r="A558" t="s">
        <v>830</v>
      </c>
      <c r="B558" t="s">
        <v>14</v>
      </c>
      <c r="C558">
        <v>9339204000945</v>
      </c>
      <c r="D558" t="s">
        <v>128</v>
      </c>
      <c r="E558">
        <v>1</v>
      </c>
      <c r="F558" s="1">
        <v>10.55</v>
      </c>
      <c r="G558">
        <v>0</v>
      </c>
      <c r="H558" s="1">
        <v>0</v>
      </c>
      <c r="I558" s="1">
        <v>0</v>
      </c>
      <c r="J558" s="1">
        <v>10.55</v>
      </c>
      <c r="K558" s="1">
        <v>0</v>
      </c>
      <c r="L558" s="1">
        <v>10.55</v>
      </c>
      <c r="M558">
        <v>1</v>
      </c>
    </row>
    <row r="559" spans="1:13" x14ac:dyDescent="0.2">
      <c r="A559" t="s">
        <v>1095</v>
      </c>
      <c r="B559" t="s">
        <v>14</v>
      </c>
      <c r="C559">
        <v>9339204000433</v>
      </c>
      <c r="D559" t="s">
        <v>128</v>
      </c>
      <c r="E559">
        <v>2</v>
      </c>
      <c r="F559" s="1">
        <v>22.7</v>
      </c>
      <c r="G559">
        <v>0</v>
      </c>
      <c r="H559" s="1">
        <v>0</v>
      </c>
      <c r="I559" s="1">
        <v>0</v>
      </c>
      <c r="J559" s="1">
        <v>22.7</v>
      </c>
      <c r="K559" s="1">
        <v>0</v>
      </c>
      <c r="L559" s="1">
        <v>22.7</v>
      </c>
      <c r="M559">
        <v>2</v>
      </c>
    </row>
    <row r="560" spans="1:13" x14ac:dyDescent="0.2">
      <c r="A560" t="s">
        <v>1096</v>
      </c>
      <c r="B560" t="s">
        <v>14</v>
      </c>
      <c r="C560">
        <v>9339204004530</v>
      </c>
      <c r="D560" t="s">
        <v>128</v>
      </c>
      <c r="E560">
        <v>1</v>
      </c>
      <c r="F560" s="1">
        <v>32.299999999999997</v>
      </c>
      <c r="G560">
        <v>0</v>
      </c>
      <c r="H560" s="1">
        <v>0</v>
      </c>
      <c r="I560" s="1">
        <v>0</v>
      </c>
      <c r="J560" s="1">
        <v>32.299999999999997</v>
      </c>
      <c r="K560" s="1">
        <v>0</v>
      </c>
      <c r="L560" s="1">
        <v>32.299999999999997</v>
      </c>
      <c r="M560">
        <v>1</v>
      </c>
    </row>
    <row r="561" spans="1:13" x14ac:dyDescent="0.2">
      <c r="A561" t="s">
        <v>427</v>
      </c>
      <c r="B561" t="s">
        <v>14</v>
      </c>
      <c r="C561">
        <v>9339204004325</v>
      </c>
      <c r="D561" t="s">
        <v>128</v>
      </c>
      <c r="E561">
        <v>1</v>
      </c>
      <c r="F561" s="1">
        <v>13.3</v>
      </c>
      <c r="G561">
        <v>0</v>
      </c>
      <c r="H561" s="1">
        <v>0</v>
      </c>
      <c r="I561" s="1">
        <v>0</v>
      </c>
      <c r="J561" s="1">
        <v>13.3</v>
      </c>
      <c r="K561" s="1">
        <v>0</v>
      </c>
      <c r="L561" s="1">
        <v>13.3</v>
      </c>
      <c r="M561">
        <v>1</v>
      </c>
    </row>
    <row r="562" spans="1:13" x14ac:dyDescent="0.2">
      <c r="A562" t="s">
        <v>1097</v>
      </c>
      <c r="B562" t="s">
        <v>14</v>
      </c>
      <c r="C562">
        <v>9339204004219</v>
      </c>
      <c r="D562" t="s">
        <v>128</v>
      </c>
      <c r="E562">
        <v>1</v>
      </c>
      <c r="F562" s="1">
        <v>27.2</v>
      </c>
      <c r="G562">
        <v>0</v>
      </c>
      <c r="H562" s="1">
        <v>0</v>
      </c>
      <c r="I562" s="1">
        <v>0</v>
      </c>
      <c r="J562" s="1">
        <v>27.2</v>
      </c>
      <c r="K562" s="1">
        <v>0</v>
      </c>
      <c r="L562" s="1">
        <v>27.2</v>
      </c>
      <c r="M562">
        <v>1</v>
      </c>
    </row>
    <row r="563" spans="1:13" x14ac:dyDescent="0.2">
      <c r="A563" t="s">
        <v>482</v>
      </c>
      <c r="B563" t="s">
        <v>14</v>
      </c>
      <c r="C563">
        <v>9339204000754</v>
      </c>
      <c r="D563" t="s">
        <v>128</v>
      </c>
      <c r="E563">
        <v>1</v>
      </c>
      <c r="F563" s="1">
        <v>11.95</v>
      </c>
      <c r="G563">
        <v>0</v>
      </c>
      <c r="H563" s="1">
        <v>0</v>
      </c>
      <c r="I563" s="1">
        <v>-1.19</v>
      </c>
      <c r="J563" s="1">
        <v>10.76</v>
      </c>
      <c r="K563" s="1">
        <v>0</v>
      </c>
      <c r="L563" s="1">
        <v>10.76</v>
      </c>
      <c r="M563">
        <v>1</v>
      </c>
    </row>
    <row r="564" spans="1:13" x14ac:dyDescent="0.2">
      <c r="A564" t="s">
        <v>1098</v>
      </c>
      <c r="B564" t="s">
        <v>14</v>
      </c>
      <c r="C564" t="s">
        <v>1099</v>
      </c>
      <c r="D564" t="s">
        <v>128</v>
      </c>
      <c r="E564">
        <v>2</v>
      </c>
      <c r="F564" s="1">
        <v>53.7</v>
      </c>
      <c r="G564">
        <v>0</v>
      </c>
      <c r="H564" s="1">
        <v>0</v>
      </c>
      <c r="I564" s="1">
        <v>0</v>
      </c>
      <c r="J564" s="1">
        <v>53.7</v>
      </c>
      <c r="K564" s="1">
        <v>0</v>
      </c>
      <c r="L564" s="1">
        <v>53.7</v>
      </c>
      <c r="M564">
        <v>2</v>
      </c>
    </row>
    <row r="565" spans="1:13" x14ac:dyDescent="0.2">
      <c r="A565" t="s">
        <v>1100</v>
      </c>
      <c r="B565" t="s">
        <v>14</v>
      </c>
      <c r="C565" t="s">
        <v>1101</v>
      </c>
      <c r="D565" t="s">
        <v>128</v>
      </c>
      <c r="E565">
        <v>1</v>
      </c>
      <c r="F565" s="1">
        <v>12.4</v>
      </c>
      <c r="G565">
        <v>0</v>
      </c>
      <c r="H565" s="1">
        <v>0</v>
      </c>
      <c r="I565" s="1">
        <v>0</v>
      </c>
      <c r="J565" s="1">
        <v>12.4</v>
      </c>
      <c r="K565" s="1">
        <v>0</v>
      </c>
      <c r="L565" s="1">
        <v>12.4</v>
      </c>
      <c r="M565">
        <v>1</v>
      </c>
    </row>
    <row r="566" spans="1:13" x14ac:dyDescent="0.2">
      <c r="A566" t="s">
        <v>352</v>
      </c>
      <c r="B566" t="s">
        <v>14</v>
      </c>
      <c r="C566">
        <v>9339204000570</v>
      </c>
      <c r="D566" t="s">
        <v>128</v>
      </c>
      <c r="E566">
        <v>9</v>
      </c>
      <c r="F566" s="1">
        <v>288.89999999999998</v>
      </c>
      <c r="G566">
        <v>0</v>
      </c>
      <c r="H566" s="1">
        <v>0</v>
      </c>
      <c r="I566" s="1">
        <v>-7.39</v>
      </c>
      <c r="J566" s="1">
        <v>281.51</v>
      </c>
      <c r="K566" s="1">
        <v>0</v>
      </c>
      <c r="L566" s="1">
        <v>281.51</v>
      </c>
      <c r="M566">
        <v>9</v>
      </c>
    </row>
    <row r="567" spans="1:13" x14ac:dyDescent="0.2">
      <c r="A567" t="s">
        <v>561</v>
      </c>
      <c r="B567" t="s">
        <v>14</v>
      </c>
      <c r="C567">
        <v>9339204002291</v>
      </c>
      <c r="D567" t="s">
        <v>128</v>
      </c>
      <c r="E567">
        <v>4</v>
      </c>
      <c r="F567" s="1">
        <v>32.6</v>
      </c>
      <c r="G567">
        <v>0</v>
      </c>
      <c r="H567" s="1">
        <v>0</v>
      </c>
      <c r="I567" s="1">
        <v>-32.6</v>
      </c>
      <c r="J567" s="1">
        <v>0</v>
      </c>
      <c r="K567" s="1">
        <v>0</v>
      </c>
      <c r="L567" s="1">
        <v>0</v>
      </c>
      <c r="M567">
        <v>4</v>
      </c>
    </row>
    <row r="568" spans="1:13" x14ac:dyDescent="0.2">
      <c r="A568" t="s">
        <v>1102</v>
      </c>
      <c r="B568" t="s">
        <v>14</v>
      </c>
      <c r="C568">
        <v>9339204001669</v>
      </c>
      <c r="D568" t="s">
        <v>128</v>
      </c>
      <c r="E568">
        <v>1</v>
      </c>
      <c r="F568" s="1">
        <v>7.2</v>
      </c>
      <c r="G568">
        <v>0</v>
      </c>
      <c r="H568" s="1">
        <v>0</v>
      </c>
      <c r="I568" s="1">
        <v>0</v>
      </c>
      <c r="J568" s="1">
        <v>7.2</v>
      </c>
      <c r="K568" s="1">
        <v>0</v>
      </c>
      <c r="L568" s="1">
        <v>7.2</v>
      </c>
      <c r="M568">
        <v>1</v>
      </c>
    </row>
    <row r="569" spans="1:13" x14ac:dyDescent="0.2">
      <c r="A569" t="s">
        <v>129</v>
      </c>
      <c r="B569" t="s">
        <v>14</v>
      </c>
      <c r="C569">
        <v>9339204001195</v>
      </c>
      <c r="D569" t="s">
        <v>128</v>
      </c>
      <c r="E569">
        <v>5</v>
      </c>
      <c r="F569" s="1">
        <v>137.75</v>
      </c>
      <c r="G569">
        <v>0</v>
      </c>
      <c r="H569" s="1">
        <v>0</v>
      </c>
      <c r="I569" s="1">
        <v>-0.67</v>
      </c>
      <c r="J569" s="1">
        <v>137.08000000000001</v>
      </c>
      <c r="K569" s="1">
        <v>0</v>
      </c>
      <c r="L569" s="1">
        <v>137.08000000000001</v>
      </c>
      <c r="M569">
        <v>5</v>
      </c>
    </row>
    <row r="570" spans="1:13" x14ac:dyDescent="0.2">
      <c r="A570" t="s">
        <v>831</v>
      </c>
      <c r="B570" t="s">
        <v>14</v>
      </c>
      <c r="C570">
        <v>9369998149605</v>
      </c>
      <c r="D570" t="s">
        <v>128</v>
      </c>
      <c r="E570">
        <v>1</v>
      </c>
      <c r="F570" s="1">
        <v>21.3</v>
      </c>
      <c r="G570">
        <v>0</v>
      </c>
      <c r="H570" s="1">
        <v>0</v>
      </c>
      <c r="I570" s="1">
        <v>0</v>
      </c>
      <c r="J570" s="1">
        <v>21.3</v>
      </c>
      <c r="K570" s="1">
        <v>0</v>
      </c>
      <c r="L570" s="1">
        <v>21.3</v>
      </c>
      <c r="M570">
        <v>1</v>
      </c>
    </row>
    <row r="571" spans="1:13" x14ac:dyDescent="0.2">
      <c r="A571" t="s">
        <v>832</v>
      </c>
      <c r="B571" t="s">
        <v>14</v>
      </c>
      <c r="C571">
        <v>9421017392253</v>
      </c>
      <c r="D571" t="s">
        <v>128</v>
      </c>
      <c r="E571">
        <v>2</v>
      </c>
      <c r="F571" s="1">
        <v>19.899999999999999</v>
      </c>
      <c r="G571">
        <v>0</v>
      </c>
      <c r="H571" s="1">
        <v>0</v>
      </c>
      <c r="I571" s="1">
        <v>0</v>
      </c>
      <c r="J571" s="1">
        <v>19.899999999999999</v>
      </c>
      <c r="K571" s="1">
        <v>0</v>
      </c>
      <c r="L571" s="1">
        <v>19.899999999999999</v>
      </c>
      <c r="M571">
        <v>2</v>
      </c>
    </row>
    <row r="572" spans="1:13" x14ac:dyDescent="0.2">
      <c r="A572" t="s">
        <v>130</v>
      </c>
      <c r="B572" t="s">
        <v>14</v>
      </c>
      <c r="C572">
        <v>9421905407588</v>
      </c>
      <c r="D572" t="s">
        <v>128</v>
      </c>
      <c r="E572">
        <v>2</v>
      </c>
      <c r="F572" s="1">
        <v>23</v>
      </c>
      <c r="G572">
        <v>0</v>
      </c>
      <c r="H572" s="1">
        <v>0</v>
      </c>
      <c r="I572" s="1">
        <v>0</v>
      </c>
      <c r="J572" s="1">
        <v>23</v>
      </c>
      <c r="K572" s="1">
        <v>0</v>
      </c>
      <c r="L572" s="1">
        <v>23</v>
      </c>
      <c r="M572">
        <v>2</v>
      </c>
    </row>
    <row r="573" spans="1:13" x14ac:dyDescent="0.2">
      <c r="A573" t="s">
        <v>562</v>
      </c>
      <c r="B573" t="s">
        <v>14</v>
      </c>
      <c r="C573">
        <v>9421905407618</v>
      </c>
      <c r="D573" t="s">
        <v>128</v>
      </c>
      <c r="E573">
        <v>2</v>
      </c>
      <c r="F573" s="1">
        <v>27.6</v>
      </c>
      <c r="G573">
        <v>0</v>
      </c>
      <c r="H573" s="1">
        <v>0</v>
      </c>
      <c r="I573" s="1">
        <v>-4.99</v>
      </c>
      <c r="J573" s="1">
        <v>22.61</v>
      </c>
      <c r="K573" s="1">
        <v>0</v>
      </c>
      <c r="L573" s="1">
        <v>22.61</v>
      </c>
      <c r="M573">
        <v>2</v>
      </c>
    </row>
    <row r="574" spans="1:13" x14ac:dyDescent="0.2">
      <c r="A574" t="s">
        <v>1103</v>
      </c>
      <c r="B574" t="s">
        <v>14</v>
      </c>
      <c r="C574">
        <v>9369999020927</v>
      </c>
      <c r="D574" t="s">
        <v>131</v>
      </c>
      <c r="E574">
        <v>1</v>
      </c>
      <c r="F574" s="1">
        <v>8.18</v>
      </c>
      <c r="G574">
        <v>0</v>
      </c>
      <c r="H574" s="1">
        <v>0</v>
      </c>
      <c r="I574" s="1">
        <v>0</v>
      </c>
      <c r="J574" s="1">
        <v>8.18</v>
      </c>
      <c r="K574" s="1">
        <v>0.82</v>
      </c>
      <c r="L574" s="1">
        <v>9</v>
      </c>
      <c r="M574">
        <v>1</v>
      </c>
    </row>
    <row r="575" spans="1:13" x14ac:dyDescent="0.2">
      <c r="A575" t="s">
        <v>563</v>
      </c>
      <c r="B575" t="s">
        <v>14</v>
      </c>
      <c r="C575">
        <v>659359533976</v>
      </c>
      <c r="D575" t="s">
        <v>131</v>
      </c>
      <c r="E575">
        <v>3</v>
      </c>
      <c r="F575" s="1">
        <v>62.85</v>
      </c>
      <c r="G575">
        <v>0</v>
      </c>
      <c r="H575" s="1">
        <v>0</v>
      </c>
      <c r="I575" s="1">
        <v>0</v>
      </c>
      <c r="J575" s="1">
        <v>62.85</v>
      </c>
      <c r="K575" s="1">
        <v>0</v>
      </c>
      <c r="L575" s="1">
        <v>62.85</v>
      </c>
      <c r="M575">
        <v>3</v>
      </c>
    </row>
    <row r="576" spans="1:13" x14ac:dyDescent="0.2">
      <c r="A576" t="s">
        <v>833</v>
      </c>
      <c r="B576" t="s">
        <v>14</v>
      </c>
      <c r="C576">
        <v>659359608131</v>
      </c>
      <c r="D576" t="s">
        <v>131</v>
      </c>
      <c r="E576">
        <v>3</v>
      </c>
      <c r="F576" s="1">
        <v>62.85</v>
      </c>
      <c r="G576">
        <v>0</v>
      </c>
      <c r="H576" s="1">
        <v>0</v>
      </c>
      <c r="I576" s="1">
        <v>0</v>
      </c>
      <c r="J576" s="1">
        <v>62.85</v>
      </c>
      <c r="K576" s="1">
        <v>0</v>
      </c>
      <c r="L576" s="1">
        <v>62.85</v>
      </c>
      <c r="M576">
        <v>3</v>
      </c>
    </row>
    <row r="577" spans="1:13" x14ac:dyDescent="0.2">
      <c r="A577" t="s">
        <v>564</v>
      </c>
      <c r="B577" t="s">
        <v>14</v>
      </c>
      <c r="C577">
        <v>659359533990</v>
      </c>
      <c r="D577" t="s">
        <v>131</v>
      </c>
      <c r="E577">
        <v>3</v>
      </c>
      <c r="F577" s="1">
        <v>62.85</v>
      </c>
      <c r="G577">
        <v>0</v>
      </c>
      <c r="H577" s="1">
        <v>0</v>
      </c>
      <c r="I577" s="1">
        <v>0</v>
      </c>
      <c r="J577" s="1">
        <v>62.85</v>
      </c>
      <c r="K577" s="1">
        <v>0</v>
      </c>
      <c r="L577" s="1">
        <v>62.85</v>
      </c>
      <c r="M577">
        <v>3</v>
      </c>
    </row>
    <row r="578" spans="1:13" x14ac:dyDescent="0.2">
      <c r="A578" t="s">
        <v>1104</v>
      </c>
      <c r="B578" t="s">
        <v>14</v>
      </c>
      <c r="C578">
        <v>659359533983</v>
      </c>
      <c r="D578" t="s">
        <v>131</v>
      </c>
      <c r="E578">
        <v>1</v>
      </c>
      <c r="F578" s="1">
        <v>24.95</v>
      </c>
      <c r="G578">
        <v>0</v>
      </c>
      <c r="H578" s="1">
        <v>0</v>
      </c>
      <c r="I578" s="1">
        <v>0</v>
      </c>
      <c r="J578" s="1">
        <v>24.95</v>
      </c>
      <c r="K578" s="1">
        <v>0</v>
      </c>
      <c r="L578" s="1">
        <v>24.95</v>
      </c>
      <c r="M578">
        <v>1</v>
      </c>
    </row>
    <row r="579" spans="1:13" x14ac:dyDescent="0.2">
      <c r="A579" t="s">
        <v>834</v>
      </c>
      <c r="B579" t="s">
        <v>14</v>
      </c>
      <c r="C579">
        <v>9358327000038</v>
      </c>
      <c r="D579" t="s">
        <v>131</v>
      </c>
      <c r="E579">
        <v>1</v>
      </c>
      <c r="F579" s="1">
        <v>14.6</v>
      </c>
      <c r="G579">
        <v>0</v>
      </c>
      <c r="H579" s="1">
        <v>0</v>
      </c>
      <c r="I579" s="1">
        <v>0</v>
      </c>
      <c r="J579" s="1">
        <v>14.6</v>
      </c>
      <c r="K579" s="1">
        <v>0</v>
      </c>
      <c r="L579" s="1">
        <v>14.6</v>
      </c>
      <c r="M579">
        <v>1</v>
      </c>
    </row>
    <row r="580" spans="1:13" x14ac:dyDescent="0.2">
      <c r="A580" t="s">
        <v>835</v>
      </c>
      <c r="B580" t="s">
        <v>14</v>
      </c>
      <c r="C580">
        <v>9369998087501</v>
      </c>
      <c r="D580" t="s">
        <v>131</v>
      </c>
      <c r="E580">
        <v>2</v>
      </c>
      <c r="F580" s="1">
        <v>30.9</v>
      </c>
      <c r="G580">
        <v>0</v>
      </c>
      <c r="H580" s="1">
        <v>0</v>
      </c>
      <c r="I580" s="1">
        <v>0</v>
      </c>
      <c r="J580" s="1">
        <v>30.9</v>
      </c>
      <c r="K580" s="1">
        <v>0</v>
      </c>
      <c r="L580" s="1">
        <v>30.9</v>
      </c>
      <c r="M580">
        <v>2</v>
      </c>
    </row>
    <row r="581" spans="1:13" x14ac:dyDescent="0.2">
      <c r="A581" t="s">
        <v>1105</v>
      </c>
      <c r="B581" t="s">
        <v>14</v>
      </c>
      <c r="C581">
        <v>9369998325153</v>
      </c>
      <c r="D581" t="s">
        <v>131</v>
      </c>
      <c r="E581">
        <v>1</v>
      </c>
      <c r="F581" s="1">
        <v>15.45</v>
      </c>
      <c r="G581">
        <v>0</v>
      </c>
      <c r="H581" s="1">
        <v>0</v>
      </c>
      <c r="I581" s="1">
        <v>0</v>
      </c>
      <c r="J581" s="1">
        <v>15.45</v>
      </c>
      <c r="K581" s="1">
        <v>0</v>
      </c>
      <c r="L581" s="1">
        <v>15.45</v>
      </c>
      <c r="M581">
        <v>1</v>
      </c>
    </row>
    <row r="582" spans="1:13" x14ac:dyDescent="0.2">
      <c r="A582" t="s">
        <v>483</v>
      </c>
      <c r="B582" t="s">
        <v>14</v>
      </c>
      <c r="C582">
        <v>9338101001260</v>
      </c>
      <c r="D582" t="s">
        <v>131</v>
      </c>
      <c r="E582">
        <v>1</v>
      </c>
      <c r="F582" s="1">
        <v>8.15</v>
      </c>
      <c r="G582">
        <v>0</v>
      </c>
      <c r="H582" s="1">
        <v>0</v>
      </c>
      <c r="I582" s="1">
        <v>0</v>
      </c>
      <c r="J582" s="1">
        <v>8.15</v>
      </c>
      <c r="K582" s="1">
        <v>0</v>
      </c>
      <c r="L582" s="1">
        <v>8.15</v>
      </c>
      <c r="M582">
        <v>1</v>
      </c>
    </row>
    <row r="583" spans="1:13" x14ac:dyDescent="0.2">
      <c r="A583" t="s">
        <v>133</v>
      </c>
      <c r="B583" t="s">
        <v>14</v>
      </c>
      <c r="C583">
        <v>100000011973</v>
      </c>
      <c r="D583" t="s">
        <v>132</v>
      </c>
      <c r="E583">
        <v>5</v>
      </c>
      <c r="F583" s="1">
        <v>15.38</v>
      </c>
      <c r="G583">
        <v>0</v>
      </c>
      <c r="H583" s="1">
        <v>0</v>
      </c>
      <c r="I583" s="1">
        <v>-0.3</v>
      </c>
      <c r="J583" s="1">
        <v>15.08</v>
      </c>
      <c r="K583" s="1">
        <v>0</v>
      </c>
      <c r="L583" s="1">
        <v>15.08</v>
      </c>
      <c r="M583">
        <v>1.45</v>
      </c>
    </row>
    <row r="584" spans="1:13" x14ac:dyDescent="0.2">
      <c r="A584" t="s">
        <v>134</v>
      </c>
      <c r="B584" t="s">
        <v>14</v>
      </c>
      <c r="C584" t="s">
        <v>135</v>
      </c>
      <c r="D584" t="s">
        <v>132</v>
      </c>
      <c r="E584">
        <v>15</v>
      </c>
      <c r="F584" s="1">
        <v>46.96</v>
      </c>
      <c r="G584">
        <v>0</v>
      </c>
      <c r="H584" s="1">
        <v>0</v>
      </c>
      <c r="I584" s="1">
        <v>-2.33</v>
      </c>
      <c r="J584" s="1">
        <v>44.63</v>
      </c>
      <c r="K584" s="1">
        <v>0</v>
      </c>
      <c r="L584" s="1">
        <v>44.63</v>
      </c>
      <c r="M584">
        <v>4.5430000000000001</v>
      </c>
    </row>
    <row r="585" spans="1:13" x14ac:dyDescent="0.2">
      <c r="A585" t="s">
        <v>136</v>
      </c>
      <c r="B585" t="s">
        <v>14</v>
      </c>
      <c r="C585" t="s">
        <v>137</v>
      </c>
      <c r="D585" t="s">
        <v>132</v>
      </c>
      <c r="E585">
        <v>9</v>
      </c>
      <c r="F585" s="1">
        <v>32.85</v>
      </c>
      <c r="G585">
        <v>0</v>
      </c>
      <c r="H585" s="1">
        <v>0</v>
      </c>
      <c r="I585" s="1">
        <v>0</v>
      </c>
      <c r="J585" s="1">
        <v>32.85</v>
      </c>
      <c r="K585" s="1">
        <v>0</v>
      </c>
      <c r="L585" s="1">
        <v>32.85</v>
      </c>
      <c r="M585">
        <v>9</v>
      </c>
    </row>
    <row r="586" spans="1:13" x14ac:dyDescent="0.2">
      <c r="A586" t="s">
        <v>138</v>
      </c>
      <c r="B586" t="s">
        <v>14</v>
      </c>
      <c r="C586">
        <v>100000001493</v>
      </c>
      <c r="D586" t="s">
        <v>132</v>
      </c>
      <c r="E586">
        <v>9</v>
      </c>
      <c r="F586" s="1">
        <v>29.07</v>
      </c>
      <c r="G586">
        <v>0</v>
      </c>
      <c r="H586" s="1">
        <v>0</v>
      </c>
      <c r="I586" s="1">
        <v>-0.68</v>
      </c>
      <c r="J586" s="1">
        <v>28.39</v>
      </c>
      <c r="K586" s="1">
        <v>0</v>
      </c>
      <c r="L586" s="1">
        <v>28.39</v>
      </c>
      <c r="M586">
        <v>4.4400000000000004</v>
      </c>
    </row>
    <row r="587" spans="1:13" x14ac:dyDescent="0.2">
      <c r="A587" t="s">
        <v>836</v>
      </c>
      <c r="B587" t="s">
        <v>14</v>
      </c>
      <c r="C587" t="s">
        <v>837</v>
      </c>
      <c r="D587" t="s">
        <v>132</v>
      </c>
      <c r="E587">
        <v>1</v>
      </c>
      <c r="F587" s="1">
        <v>4.97</v>
      </c>
      <c r="G587">
        <v>0</v>
      </c>
      <c r="H587" s="1">
        <v>0</v>
      </c>
      <c r="I587" s="1">
        <v>-0.14000000000000001</v>
      </c>
      <c r="J587" s="1">
        <v>4.83</v>
      </c>
      <c r="K587" s="1">
        <v>0</v>
      </c>
      <c r="L587" s="1">
        <v>4.83</v>
      </c>
      <c r="M587">
        <v>0.58499999999999996</v>
      </c>
    </row>
    <row r="588" spans="1:13" x14ac:dyDescent="0.2">
      <c r="A588" t="s">
        <v>353</v>
      </c>
      <c r="B588" t="s">
        <v>14</v>
      </c>
      <c r="C588" t="s">
        <v>354</v>
      </c>
      <c r="D588" t="s">
        <v>132</v>
      </c>
      <c r="E588">
        <v>6</v>
      </c>
      <c r="F588" s="1">
        <v>19.16</v>
      </c>
      <c r="G588">
        <v>0</v>
      </c>
      <c r="H588" s="1">
        <v>0</v>
      </c>
      <c r="I588" s="1">
        <v>0</v>
      </c>
      <c r="J588" s="1">
        <v>19.16</v>
      </c>
      <c r="K588" s="1">
        <v>0</v>
      </c>
      <c r="L588" s="1">
        <v>19.16</v>
      </c>
      <c r="M588">
        <v>0.98</v>
      </c>
    </row>
    <row r="589" spans="1:13" x14ac:dyDescent="0.2">
      <c r="A589" t="s">
        <v>139</v>
      </c>
      <c r="B589" t="s">
        <v>14</v>
      </c>
      <c r="C589" t="s">
        <v>140</v>
      </c>
      <c r="D589" t="s">
        <v>132</v>
      </c>
      <c r="E589">
        <v>17</v>
      </c>
      <c r="F589" s="1">
        <v>49.09</v>
      </c>
      <c r="G589">
        <v>0</v>
      </c>
      <c r="H589" s="1">
        <v>0</v>
      </c>
      <c r="I589" s="1">
        <v>-1.4</v>
      </c>
      <c r="J589" s="1">
        <v>47.69</v>
      </c>
      <c r="K589" s="1">
        <v>0</v>
      </c>
      <c r="L589" s="1">
        <v>47.69</v>
      </c>
      <c r="M589">
        <v>3.7469999999999999</v>
      </c>
    </row>
    <row r="590" spans="1:13" x14ac:dyDescent="0.2">
      <c r="A590" t="s">
        <v>1106</v>
      </c>
      <c r="B590" t="s">
        <v>14</v>
      </c>
      <c r="C590" t="s">
        <v>1107</v>
      </c>
      <c r="D590" t="s">
        <v>132</v>
      </c>
      <c r="E590">
        <v>3</v>
      </c>
      <c r="F590" s="1">
        <v>20.170000000000002</v>
      </c>
      <c r="G590">
        <v>0</v>
      </c>
      <c r="H590" s="1">
        <v>0</v>
      </c>
      <c r="I590" s="1">
        <v>-2.04</v>
      </c>
      <c r="J590" s="1">
        <v>18.13</v>
      </c>
      <c r="K590" s="1">
        <v>3.68</v>
      </c>
      <c r="L590" s="1">
        <v>21.81</v>
      </c>
      <c r="M590">
        <v>3</v>
      </c>
    </row>
    <row r="591" spans="1:13" x14ac:dyDescent="0.2">
      <c r="A591" t="s">
        <v>141</v>
      </c>
      <c r="B591" t="s">
        <v>14</v>
      </c>
      <c r="C591" t="s">
        <v>142</v>
      </c>
      <c r="D591" t="s">
        <v>132</v>
      </c>
      <c r="E591">
        <v>7</v>
      </c>
      <c r="F591" s="1">
        <v>18.48</v>
      </c>
      <c r="G591">
        <v>0</v>
      </c>
      <c r="H591" s="1">
        <v>0</v>
      </c>
      <c r="I591" s="1">
        <v>0</v>
      </c>
      <c r="J591" s="1">
        <v>18.48</v>
      </c>
      <c r="K591" s="1">
        <v>0</v>
      </c>
      <c r="L591" s="1">
        <v>18.48</v>
      </c>
      <c r="M591">
        <v>3.625</v>
      </c>
    </row>
    <row r="592" spans="1:13" x14ac:dyDescent="0.2">
      <c r="A592" t="s">
        <v>838</v>
      </c>
      <c r="B592" t="s">
        <v>14</v>
      </c>
      <c r="C592" t="s">
        <v>839</v>
      </c>
      <c r="D592" t="s">
        <v>132</v>
      </c>
      <c r="E592">
        <v>1</v>
      </c>
      <c r="F592" s="1">
        <v>8.3000000000000007</v>
      </c>
      <c r="G592">
        <v>0</v>
      </c>
      <c r="H592" s="1">
        <v>0</v>
      </c>
      <c r="I592" s="1">
        <v>-1.66</v>
      </c>
      <c r="J592" s="1">
        <v>6.64</v>
      </c>
      <c r="K592" s="1">
        <v>0</v>
      </c>
      <c r="L592" s="1">
        <v>6.64</v>
      </c>
      <c r="M592">
        <v>0.61</v>
      </c>
    </row>
    <row r="593" spans="1:13" x14ac:dyDescent="0.2">
      <c r="A593" t="s">
        <v>143</v>
      </c>
      <c r="B593" t="s">
        <v>14</v>
      </c>
      <c r="C593" t="s">
        <v>144</v>
      </c>
      <c r="D593" t="s">
        <v>132</v>
      </c>
      <c r="E593">
        <v>3</v>
      </c>
      <c r="F593" s="1">
        <v>15.5</v>
      </c>
      <c r="G593">
        <v>0</v>
      </c>
      <c r="H593" s="1">
        <v>0</v>
      </c>
      <c r="I593" s="1">
        <v>-6.6</v>
      </c>
      <c r="J593" s="1">
        <v>8.9</v>
      </c>
      <c r="K593" s="1">
        <v>0</v>
      </c>
      <c r="L593" s="1">
        <v>8.9</v>
      </c>
      <c r="M593">
        <v>1.615</v>
      </c>
    </row>
    <row r="594" spans="1:13" x14ac:dyDescent="0.2">
      <c r="A594" t="s">
        <v>318</v>
      </c>
      <c r="B594" t="s">
        <v>14</v>
      </c>
      <c r="C594" t="s">
        <v>319</v>
      </c>
      <c r="D594" t="s">
        <v>132</v>
      </c>
      <c r="E594">
        <v>14</v>
      </c>
      <c r="F594" s="1">
        <v>135</v>
      </c>
      <c r="G594">
        <v>0</v>
      </c>
      <c r="H594" s="1">
        <v>0</v>
      </c>
      <c r="I594" s="1">
        <v>-9.34</v>
      </c>
      <c r="J594" s="1">
        <v>125.66</v>
      </c>
      <c r="K594" s="1">
        <v>0</v>
      </c>
      <c r="L594" s="1">
        <v>125.66</v>
      </c>
      <c r="M594">
        <v>14</v>
      </c>
    </row>
    <row r="595" spans="1:13" x14ac:dyDescent="0.2">
      <c r="A595" t="s">
        <v>405</v>
      </c>
      <c r="B595" t="s">
        <v>14</v>
      </c>
      <c r="C595">
        <v>2888118</v>
      </c>
      <c r="D595" t="s">
        <v>132</v>
      </c>
      <c r="E595">
        <v>4</v>
      </c>
      <c r="F595" s="1">
        <v>68.33</v>
      </c>
      <c r="G595">
        <v>0</v>
      </c>
      <c r="H595" s="1">
        <v>0</v>
      </c>
      <c r="I595" s="1">
        <v>-2.2599999999999998</v>
      </c>
      <c r="J595" s="1">
        <v>66.069999999999993</v>
      </c>
      <c r="K595" s="1">
        <v>0</v>
      </c>
      <c r="L595" s="1">
        <v>66.069999999999993</v>
      </c>
      <c r="M595">
        <v>10.275</v>
      </c>
    </row>
    <row r="596" spans="1:13" x14ac:dyDescent="0.2">
      <c r="A596" t="s">
        <v>1108</v>
      </c>
      <c r="B596" t="s">
        <v>14</v>
      </c>
      <c r="C596" t="s">
        <v>1109</v>
      </c>
      <c r="D596" t="s">
        <v>565</v>
      </c>
      <c r="E596">
        <v>2</v>
      </c>
      <c r="F596" s="1">
        <v>79.900000000000006</v>
      </c>
      <c r="G596">
        <v>0</v>
      </c>
      <c r="H596" s="1">
        <v>0</v>
      </c>
      <c r="I596" s="1">
        <v>0</v>
      </c>
      <c r="J596" s="1">
        <v>79.900000000000006</v>
      </c>
      <c r="K596" s="1">
        <v>0</v>
      </c>
      <c r="L596" s="1">
        <v>79.900000000000006</v>
      </c>
      <c r="M596">
        <v>2</v>
      </c>
    </row>
    <row r="597" spans="1:13" x14ac:dyDescent="0.2">
      <c r="A597" t="s">
        <v>1110</v>
      </c>
      <c r="B597" t="s">
        <v>14</v>
      </c>
      <c r="C597">
        <v>8290393</v>
      </c>
      <c r="D597" t="s">
        <v>565</v>
      </c>
      <c r="E597">
        <v>1</v>
      </c>
      <c r="F597" s="1">
        <v>40.82</v>
      </c>
      <c r="G597">
        <v>0</v>
      </c>
      <c r="H597" s="1">
        <v>0</v>
      </c>
      <c r="I597" s="1">
        <v>0</v>
      </c>
      <c r="J597" s="1">
        <v>40.82</v>
      </c>
      <c r="K597" s="1">
        <v>4.13</v>
      </c>
      <c r="L597" s="1">
        <v>44.95</v>
      </c>
      <c r="M597">
        <v>1</v>
      </c>
    </row>
    <row r="598" spans="1:13" x14ac:dyDescent="0.2">
      <c r="A598" t="s">
        <v>1111</v>
      </c>
      <c r="B598" t="s">
        <v>14</v>
      </c>
      <c r="C598">
        <v>3760062889940</v>
      </c>
      <c r="D598" t="s">
        <v>565</v>
      </c>
      <c r="E598">
        <v>1</v>
      </c>
      <c r="F598" s="1">
        <v>38.6</v>
      </c>
      <c r="G598">
        <v>0</v>
      </c>
      <c r="H598" s="1">
        <v>0</v>
      </c>
      <c r="I598" s="1">
        <v>0</v>
      </c>
      <c r="J598" s="1">
        <v>38.6</v>
      </c>
      <c r="K598" s="1">
        <v>3.9</v>
      </c>
      <c r="L598" s="1">
        <v>42.5</v>
      </c>
      <c r="M598">
        <v>1</v>
      </c>
    </row>
    <row r="599" spans="1:13" x14ac:dyDescent="0.2">
      <c r="A599" t="s">
        <v>1112</v>
      </c>
      <c r="B599" t="s">
        <v>14</v>
      </c>
      <c r="C599">
        <v>9348571000205</v>
      </c>
      <c r="D599" t="s">
        <v>145</v>
      </c>
      <c r="E599">
        <v>1</v>
      </c>
      <c r="F599" s="1">
        <v>14</v>
      </c>
      <c r="G599">
        <v>0</v>
      </c>
      <c r="H599" s="1">
        <v>0</v>
      </c>
      <c r="I599" s="1">
        <v>0</v>
      </c>
      <c r="J599" s="1">
        <v>14</v>
      </c>
      <c r="K599" s="1">
        <v>0</v>
      </c>
      <c r="L599" s="1">
        <v>14</v>
      </c>
      <c r="M599">
        <v>1</v>
      </c>
    </row>
    <row r="600" spans="1:13" x14ac:dyDescent="0.2">
      <c r="A600" t="s">
        <v>840</v>
      </c>
      <c r="B600" t="s">
        <v>14</v>
      </c>
      <c r="C600">
        <v>9415748004516</v>
      </c>
      <c r="D600" t="s">
        <v>145</v>
      </c>
      <c r="E600">
        <v>1</v>
      </c>
      <c r="F600" s="1">
        <v>3</v>
      </c>
      <c r="G600">
        <v>0</v>
      </c>
      <c r="H600" s="1">
        <v>0</v>
      </c>
      <c r="I600" s="1">
        <v>-0.72</v>
      </c>
      <c r="J600" s="1">
        <v>2.2799999999999998</v>
      </c>
      <c r="K600" s="1">
        <v>0</v>
      </c>
      <c r="L600" s="1">
        <v>2.2799999999999998</v>
      </c>
      <c r="M600">
        <v>1</v>
      </c>
    </row>
    <row r="601" spans="1:13" x14ac:dyDescent="0.2">
      <c r="A601" t="s">
        <v>681</v>
      </c>
      <c r="B601" t="s">
        <v>14</v>
      </c>
      <c r="C601">
        <v>9339337300172</v>
      </c>
      <c r="D601" t="s">
        <v>145</v>
      </c>
      <c r="E601">
        <v>2</v>
      </c>
      <c r="F601" s="1">
        <v>18.2</v>
      </c>
      <c r="G601">
        <v>0</v>
      </c>
      <c r="H601" s="1">
        <v>0</v>
      </c>
      <c r="I601" s="1">
        <v>0</v>
      </c>
      <c r="J601" s="1">
        <v>18.2</v>
      </c>
      <c r="K601" s="1">
        <v>0</v>
      </c>
      <c r="L601" s="1">
        <v>18.2</v>
      </c>
      <c r="M601">
        <v>2</v>
      </c>
    </row>
    <row r="602" spans="1:13" x14ac:dyDescent="0.2">
      <c r="A602" t="s">
        <v>1113</v>
      </c>
      <c r="B602" t="s">
        <v>14</v>
      </c>
      <c r="C602">
        <v>9339337001178</v>
      </c>
      <c r="D602" t="s">
        <v>145</v>
      </c>
      <c r="E602">
        <v>1</v>
      </c>
      <c r="F602" s="1">
        <v>6.45</v>
      </c>
      <c r="G602">
        <v>0</v>
      </c>
      <c r="H602" s="1">
        <v>0</v>
      </c>
      <c r="I602" s="1">
        <v>0</v>
      </c>
      <c r="J602" s="1">
        <v>6.45</v>
      </c>
      <c r="K602" s="1">
        <v>0</v>
      </c>
      <c r="L602" s="1">
        <v>6.45</v>
      </c>
      <c r="M602">
        <v>1</v>
      </c>
    </row>
    <row r="603" spans="1:13" x14ac:dyDescent="0.2">
      <c r="A603" t="s">
        <v>682</v>
      </c>
      <c r="B603" t="s">
        <v>14</v>
      </c>
      <c r="C603">
        <v>9339944005002</v>
      </c>
      <c r="D603" t="s">
        <v>145</v>
      </c>
      <c r="E603">
        <v>1</v>
      </c>
      <c r="F603" s="1">
        <v>11.95</v>
      </c>
      <c r="G603">
        <v>0</v>
      </c>
      <c r="H603" s="1">
        <v>0</v>
      </c>
      <c r="I603" s="1">
        <v>-2.27</v>
      </c>
      <c r="J603" s="1">
        <v>9.68</v>
      </c>
      <c r="K603" s="1">
        <v>0</v>
      </c>
      <c r="L603" s="1">
        <v>9.68</v>
      </c>
      <c r="M603">
        <v>1</v>
      </c>
    </row>
    <row r="604" spans="1:13" x14ac:dyDescent="0.2">
      <c r="A604" t="s">
        <v>841</v>
      </c>
      <c r="B604" t="s">
        <v>14</v>
      </c>
      <c r="C604">
        <v>9339944001561</v>
      </c>
      <c r="D604" t="s">
        <v>145</v>
      </c>
      <c r="E604">
        <v>3</v>
      </c>
      <c r="F604" s="1">
        <v>30.3</v>
      </c>
      <c r="G604">
        <v>0</v>
      </c>
      <c r="H604" s="1">
        <v>0</v>
      </c>
      <c r="I604" s="1">
        <v>-3.24</v>
      </c>
      <c r="J604" s="1">
        <v>27.06</v>
      </c>
      <c r="K604" s="1">
        <v>0</v>
      </c>
      <c r="L604" s="1">
        <v>27.06</v>
      </c>
      <c r="M604">
        <v>3</v>
      </c>
    </row>
    <row r="605" spans="1:13" x14ac:dyDescent="0.2">
      <c r="A605" t="s">
        <v>842</v>
      </c>
      <c r="B605" t="s">
        <v>14</v>
      </c>
      <c r="C605">
        <v>9339944006900</v>
      </c>
      <c r="D605" t="s">
        <v>145</v>
      </c>
      <c r="E605">
        <v>2</v>
      </c>
      <c r="F605" s="1">
        <v>5.8</v>
      </c>
      <c r="G605">
        <v>0</v>
      </c>
      <c r="H605" s="1">
        <v>0</v>
      </c>
      <c r="I605" s="1">
        <v>-0.28999999999999998</v>
      </c>
      <c r="J605" s="1">
        <v>5.51</v>
      </c>
      <c r="K605" s="1">
        <v>0</v>
      </c>
      <c r="L605" s="1">
        <v>5.51</v>
      </c>
      <c r="M605">
        <v>2</v>
      </c>
    </row>
    <row r="606" spans="1:13" x14ac:dyDescent="0.2">
      <c r="A606" t="s">
        <v>843</v>
      </c>
      <c r="B606" t="s">
        <v>14</v>
      </c>
      <c r="C606">
        <v>9339944002247</v>
      </c>
      <c r="D606" t="s">
        <v>145</v>
      </c>
      <c r="E606">
        <v>1</v>
      </c>
      <c r="F606" s="1">
        <v>8.6</v>
      </c>
      <c r="G606">
        <v>0</v>
      </c>
      <c r="H606" s="1">
        <v>0</v>
      </c>
      <c r="I606" s="1">
        <v>-0.86</v>
      </c>
      <c r="J606" s="1">
        <v>7.74</v>
      </c>
      <c r="K606" s="1">
        <v>0</v>
      </c>
      <c r="L606" s="1">
        <v>7.74</v>
      </c>
      <c r="M606">
        <v>1</v>
      </c>
    </row>
    <row r="607" spans="1:13" x14ac:dyDescent="0.2">
      <c r="A607" t="s">
        <v>1114</v>
      </c>
      <c r="B607" t="s">
        <v>14</v>
      </c>
      <c r="C607">
        <v>9339944000991</v>
      </c>
      <c r="D607" t="s">
        <v>145</v>
      </c>
      <c r="E607">
        <v>2</v>
      </c>
      <c r="F607" s="1">
        <v>28.2</v>
      </c>
      <c r="G607">
        <v>0</v>
      </c>
      <c r="H607" s="1">
        <v>0</v>
      </c>
      <c r="I607" s="1">
        <v>-1.41</v>
      </c>
      <c r="J607" s="1">
        <v>26.79</v>
      </c>
      <c r="K607" s="1">
        <v>0</v>
      </c>
      <c r="L607" s="1">
        <v>26.79</v>
      </c>
      <c r="M607">
        <v>2</v>
      </c>
    </row>
    <row r="608" spans="1:13" x14ac:dyDescent="0.2">
      <c r="A608" t="s">
        <v>844</v>
      </c>
      <c r="B608" t="s">
        <v>14</v>
      </c>
      <c r="C608">
        <v>9339944000311</v>
      </c>
      <c r="D608" t="s">
        <v>145</v>
      </c>
      <c r="E608">
        <v>1</v>
      </c>
      <c r="F608" s="1">
        <v>7.4</v>
      </c>
      <c r="G608">
        <v>0</v>
      </c>
      <c r="H608" s="1">
        <v>0</v>
      </c>
      <c r="I608" s="1">
        <v>0</v>
      </c>
      <c r="J608" s="1">
        <v>7.4</v>
      </c>
      <c r="K608" s="1">
        <v>0</v>
      </c>
      <c r="L608" s="1">
        <v>7.4</v>
      </c>
      <c r="M608">
        <v>1</v>
      </c>
    </row>
    <row r="609" spans="1:13" x14ac:dyDescent="0.2">
      <c r="A609" t="s">
        <v>1115</v>
      </c>
      <c r="B609" t="s">
        <v>14</v>
      </c>
      <c r="C609">
        <v>9339944001608</v>
      </c>
      <c r="D609" t="s">
        <v>145</v>
      </c>
      <c r="E609">
        <v>2</v>
      </c>
      <c r="F609" s="1">
        <v>18.600000000000001</v>
      </c>
      <c r="G609">
        <v>0</v>
      </c>
      <c r="H609" s="1">
        <v>0</v>
      </c>
      <c r="I609" s="1">
        <v>-0.52</v>
      </c>
      <c r="J609" s="1">
        <v>18.079999999999998</v>
      </c>
      <c r="K609" s="1">
        <v>0</v>
      </c>
      <c r="L609" s="1">
        <v>18.079999999999998</v>
      </c>
      <c r="M609">
        <v>2</v>
      </c>
    </row>
    <row r="610" spans="1:13" x14ac:dyDescent="0.2">
      <c r="A610" t="s">
        <v>845</v>
      </c>
      <c r="B610" t="s">
        <v>14</v>
      </c>
      <c r="C610">
        <v>9339944002193</v>
      </c>
      <c r="D610" t="s">
        <v>145</v>
      </c>
      <c r="E610">
        <v>1</v>
      </c>
      <c r="F610" s="1">
        <v>9.6999999999999993</v>
      </c>
      <c r="G610">
        <v>0</v>
      </c>
      <c r="H610" s="1">
        <v>0</v>
      </c>
      <c r="I610" s="1">
        <v>0</v>
      </c>
      <c r="J610" s="1">
        <v>9.6999999999999993</v>
      </c>
      <c r="K610" s="1">
        <v>0</v>
      </c>
      <c r="L610" s="1">
        <v>9.6999999999999993</v>
      </c>
      <c r="M610">
        <v>1</v>
      </c>
    </row>
    <row r="611" spans="1:13" x14ac:dyDescent="0.2">
      <c r="A611" t="s">
        <v>846</v>
      </c>
      <c r="B611" t="s">
        <v>14</v>
      </c>
      <c r="C611">
        <v>8012462010123</v>
      </c>
      <c r="D611" t="s">
        <v>145</v>
      </c>
      <c r="E611">
        <v>1</v>
      </c>
      <c r="F611" s="1">
        <v>4.6500000000000004</v>
      </c>
      <c r="G611">
        <v>0</v>
      </c>
      <c r="H611" s="1">
        <v>0</v>
      </c>
      <c r="I611" s="1">
        <v>0</v>
      </c>
      <c r="J611" s="1">
        <v>4.6500000000000004</v>
      </c>
      <c r="K611" s="1">
        <v>0</v>
      </c>
      <c r="L611" s="1">
        <v>4.6500000000000004</v>
      </c>
      <c r="M611">
        <v>1</v>
      </c>
    </row>
    <row r="612" spans="1:13" x14ac:dyDescent="0.2">
      <c r="A612" t="s">
        <v>1116</v>
      </c>
      <c r="B612" t="s">
        <v>14</v>
      </c>
      <c r="C612">
        <v>9312336740200</v>
      </c>
      <c r="D612" t="s">
        <v>145</v>
      </c>
      <c r="E612">
        <v>3</v>
      </c>
      <c r="F612" s="1">
        <v>10.5</v>
      </c>
      <c r="G612">
        <v>0</v>
      </c>
      <c r="H612" s="1">
        <v>0</v>
      </c>
      <c r="I612" s="1">
        <v>-0.7</v>
      </c>
      <c r="J612" s="1">
        <v>9.8000000000000007</v>
      </c>
      <c r="K612" s="1">
        <v>0</v>
      </c>
      <c r="L612" s="1">
        <v>9.8000000000000007</v>
      </c>
      <c r="M612">
        <v>3</v>
      </c>
    </row>
    <row r="613" spans="1:13" x14ac:dyDescent="0.2">
      <c r="A613" t="s">
        <v>683</v>
      </c>
      <c r="B613" t="s">
        <v>14</v>
      </c>
      <c r="C613">
        <v>9339337002014</v>
      </c>
      <c r="D613" t="s">
        <v>146</v>
      </c>
      <c r="E613">
        <v>1</v>
      </c>
      <c r="F613" s="1">
        <v>7.1</v>
      </c>
      <c r="G613">
        <v>0</v>
      </c>
      <c r="H613" s="1">
        <v>0</v>
      </c>
      <c r="I613" s="1">
        <v>0</v>
      </c>
      <c r="J613" s="1">
        <v>7.1</v>
      </c>
      <c r="K613" s="1">
        <v>0</v>
      </c>
      <c r="L613" s="1">
        <v>7.1</v>
      </c>
      <c r="M613">
        <v>1</v>
      </c>
    </row>
    <row r="614" spans="1:13" x14ac:dyDescent="0.2">
      <c r="A614" t="s">
        <v>684</v>
      </c>
      <c r="B614" t="s">
        <v>14</v>
      </c>
      <c r="C614">
        <v>9332974000016</v>
      </c>
      <c r="D614" t="s">
        <v>146</v>
      </c>
      <c r="E614">
        <v>1</v>
      </c>
      <c r="F614" s="1">
        <v>4.95</v>
      </c>
      <c r="G614">
        <v>0</v>
      </c>
      <c r="H614" s="1">
        <v>0</v>
      </c>
      <c r="I614" s="1">
        <v>0</v>
      </c>
      <c r="J614" s="1">
        <v>4.95</v>
      </c>
      <c r="K614" s="1">
        <v>0</v>
      </c>
      <c r="L614" s="1">
        <v>4.95</v>
      </c>
      <c r="M614">
        <v>1</v>
      </c>
    </row>
    <row r="615" spans="1:13" x14ac:dyDescent="0.2">
      <c r="A615" t="s">
        <v>1117</v>
      </c>
      <c r="B615" t="s">
        <v>14</v>
      </c>
      <c r="C615">
        <v>9332974000030</v>
      </c>
      <c r="D615" t="s">
        <v>146</v>
      </c>
      <c r="E615">
        <v>1</v>
      </c>
      <c r="F615" s="1">
        <v>4.95</v>
      </c>
      <c r="G615">
        <v>0</v>
      </c>
      <c r="H615" s="1">
        <v>0</v>
      </c>
      <c r="I615" s="1">
        <v>0</v>
      </c>
      <c r="J615" s="1">
        <v>4.95</v>
      </c>
      <c r="K615" s="1">
        <v>0</v>
      </c>
      <c r="L615" s="1">
        <v>4.95</v>
      </c>
      <c r="M615">
        <v>1</v>
      </c>
    </row>
    <row r="616" spans="1:13" x14ac:dyDescent="0.2">
      <c r="A616" t="s">
        <v>1118</v>
      </c>
      <c r="B616" t="s">
        <v>14</v>
      </c>
      <c r="C616">
        <v>9332974000146</v>
      </c>
      <c r="D616" t="s">
        <v>146</v>
      </c>
      <c r="E616">
        <v>1</v>
      </c>
      <c r="F616" s="1">
        <v>4.95</v>
      </c>
      <c r="G616">
        <v>0</v>
      </c>
      <c r="H616" s="1">
        <v>0</v>
      </c>
      <c r="I616" s="1">
        <v>0</v>
      </c>
      <c r="J616" s="1">
        <v>4.95</v>
      </c>
      <c r="K616" s="1">
        <v>0</v>
      </c>
      <c r="L616" s="1">
        <v>4.95</v>
      </c>
      <c r="M616">
        <v>1</v>
      </c>
    </row>
    <row r="617" spans="1:13" x14ac:dyDescent="0.2">
      <c r="A617" t="s">
        <v>1119</v>
      </c>
      <c r="B617" t="s">
        <v>14</v>
      </c>
      <c r="C617">
        <v>9332974000054</v>
      </c>
      <c r="D617" t="s">
        <v>146</v>
      </c>
      <c r="E617">
        <v>1</v>
      </c>
      <c r="F617" s="1">
        <v>4.95</v>
      </c>
      <c r="G617">
        <v>0</v>
      </c>
      <c r="H617" s="1">
        <v>0</v>
      </c>
      <c r="I617" s="1">
        <v>0</v>
      </c>
      <c r="J617" s="1">
        <v>4.95</v>
      </c>
      <c r="K617" s="1">
        <v>0</v>
      </c>
      <c r="L617" s="1">
        <v>4.95</v>
      </c>
      <c r="M617">
        <v>1</v>
      </c>
    </row>
    <row r="618" spans="1:13" x14ac:dyDescent="0.2">
      <c r="A618" t="s">
        <v>1120</v>
      </c>
      <c r="B618" t="s">
        <v>14</v>
      </c>
      <c r="C618">
        <v>9332974000061</v>
      </c>
      <c r="D618" t="s">
        <v>146</v>
      </c>
      <c r="E618">
        <v>1</v>
      </c>
      <c r="F618" s="1">
        <v>4.95</v>
      </c>
      <c r="G618">
        <v>0</v>
      </c>
      <c r="H618" s="1">
        <v>0</v>
      </c>
      <c r="I618" s="1">
        <v>0</v>
      </c>
      <c r="J618" s="1">
        <v>4.95</v>
      </c>
      <c r="K618" s="1">
        <v>0</v>
      </c>
      <c r="L618" s="1">
        <v>4.95</v>
      </c>
      <c r="M618">
        <v>1</v>
      </c>
    </row>
    <row r="619" spans="1:13" x14ac:dyDescent="0.2">
      <c r="A619" t="s">
        <v>1121</v>
      </c>
      <c r="B619" t="s">
        <v>14</v>
      </c>
      <c r="C619">
        <v>9332974000160</v>
      </c>
      <c r="D619" t="s">
        <v>146</v>
      </c>
      <c r="E619">
        <v>1</v>
      </c>
      <c r="F619" s="1">
        <v>4.95</v>
      </c>
      <c r="G619">
        <v>0</v>
      </c>
      <c r="H619" s="1">
        <v>0</v>
      </c>
      <c r="I619" s="1">
        <v>0</v>
      </c>
      <c r="J619" s="1">
        <v>4.95</v>
      </c>
      <c r="K619" s="1">
        <v>0</v>
      </c>
      <c r="L619" s="1">
        <v>4.95</v>
      </c>
      <c r="M619">
        <v>1</v>
      </c>
    </row>
    <row r="620" spans="1:13" x14ac:dyDescent="0.2">
      <c r="A620" t="s">
        <v>428</v>
      </c>
      <c r="B620" t="s">
        <v>14</v>
      </c>
      <c r="C620">
        <v>9332974000283</v>
      </c>
      <c r="D620" t="s">
        <v>146</v>
      </c>
      <c r="E620">
        <v>1</v>
      </c>
      <c r="F620" s="1">
        <v>4.95</v>
      </c>
      <c r="G620">
        <v>0</v>
      </c>
      <c r="H620" s="1">
        <v>0</v>
      </c>
      <c r="I620" s="1">
        <v>0</v>
      </c>
      <c r="J620" s="1">
        <v>4.95</v>
      </c>
      <c r="K620" s="1">
        <v>0</v>
      </c>
      <c r="L620" s="1">
        <v>4.95</v>
      </c>
      <c r="M620">
        <v>1</v>
      </c>
    </row>
    <row r="621" spans="1:13" x14ac:dyDescent="0.2">
      <c r="A621" t="s">
        <v>1122</v>
      </c>
      <c r="B621" t="s">
        <v>14</v>
      </c>
      <c r="C621">
        <v>9332974000429</v>
      </c>
      <c r="D621" t="s">
        <v>146</v>
      </c>
      <c r="E621">
        <v>1</v>
      </c>
      <c r="F621" s="1">
        <v>4.95</v>
      </c>
      <c r="G621">
        <v>0</v>
      </c>
      <c r="H621" s="1">
        <v>0</v>
      </c>
      <c r="I621" s="1">
        <v>0</v>
      </c>
      <c r="J621" s="1">
        <v>4.95</v>
      </c>
      <c r="K621" s="1">
        <v>0</v>
      </c>
      <c r="L621" s="1">
        <v>4.95</v>
      </c>
      <c r="M621">
        <v>1</v>
      </c>
    </row>
    <row r="622" spans="1:13" x14ac:dyDescent="0.2">
      <c r="A622" t="s">
        <v>1123</v>
      </c>
      <c r="B622" t="s">
        <v>14</v>
      </c>
      <c r="C622">
        <v>9332974000887</v>
      </c>
      <c r="D622" t="s">
        <v>146</v>
      </c>
      <c r="E622">
        <v>1</v>
      </c>
      <c r="F622" s="1">
        <v>4.95</v>
      </c>
      <c r="G622">
        <v>0</v>
      </c>
      <c r="H622" s="1">
        <v>0</v>
      </c>
      <c r="I622" s="1">
        <v>0</v>
      </c>
      <c r="J622" s="1">
        <v>4.95</v>
      </c>
      <c r="K622" s="1">
        <v>0</v>
      </c>
      <c r="L622" s="1">
        <v>4.95</v>
      </c>
      <c r="M622">
        <v>1</v>
      </c>
    </row>
    <row r="623" spans="1:13" x14ac:dyDescent="0.2">
      <c r="A623" t="s">
        <v>1124</v>
      </c>
      <c r="B623" t="s">
        <v>14</v>
      </c>
      <c r="C623">
        <v>9332974000733</v>
      </c>
      <c r="D623" t="s">
        <v>146</v>
      </c>
      <c r="E623">
        <v>1</v>
      </c>
      <c r="F623" s="1">
        <v>4.95</v>
      </c>
      <c r="G623">
        <v>0</v>
      </c>
      <c r="H623" s="1">
        <v>0</v>
      </c>
      <c r="I623" s="1">
        <v>0</v>
      </c>
      <c r="J623" s="1">
        <v>4.95</v>
      </c>
      <c r="K623" s="1">
        <v>0</v>
      </c>
      <c r="L623" s="1">
        <v>4.95</v>
      </c>
      <c r="M623">
        <v>1</v>
      </c>
    </row>
    <row r="624" spans="1:13" x14ac:dyDescent="0.2">
      <c r="A624" t="s">
        <v>566</v>
      </c>
      <c r="B624" t="s">
        <v>14</v>
      </c>
      <c r="C624">
        <v>9332974000078</v>
      </c>
      <c r="D624" t="s">
        <v>146</v>
      </c>
      <c r="E624">
        <v>1</v>
      </c>
      <c r="F624" s="1">
        <v>4.95</v>
      </c>
      <c r="G624">
        <v>0</v>
      </c>
      <c r="H624" s="1">
        <v>0</v>
      </c>
      <c r="I624" s="1">
        <v>0</v>
      </c>
      <c r="J624" s="1">
        <v>4.95</v>
      </c>
      <c r="K624" s="1">
        <v>0</v>
      </c>
      <c r="L624" s="1">
        <v>4.95</v>
      </c>
      <c r="M624">
        <v>1</v>
      </c>
    </row>
    <row r="625" spans="1:13" x14ac:dyDescent="0.2">
      <c r="A625" t="s">
        <v>847</v>
      </c>
      <c r="B625" t="s">
        <v>14</v>
      </c>
      <c r="C625">
        <v>9332974000252</v>
      </c>
      <c r="D625" t="s">
        <v>146</v>
      </c>
      <c r="E625">
        <v>2</v>
      </c>
      <c r="F625" s="1">
        <v>9.9</v>
      </c>
      <c r="G625">
        <v>0</v>
      </c>
      <c r="H625" s="1">
        <v>0</v>
      </c>
      <c r="I625" s="1">
        <v>0</v>
      </c>
      <c r="J625" s="1">
        <v>9.9</v>
      </c>
      <c r="K625" s="1">
        <v>0</v>
      </c>
      <c r="L625" s="1">
        <v>9.9</v>
      </c>
      <c r="M625">
        <v>2</v>
      </c>
    </row>
    <row r="626" spans="1:13" x14ac:dyDescent="0.2">
      <c r="A626" t="s">
        <v>1125</v>
      </c>
      <c r="B626" t="s">
        <v>14</v>
      </c>
      <c r="C626">
        <v>9339944008898</v>
      </c>
      <c r="D626" t="s">
        <v>146</v>
      </c>
      <c r="E626">
        <v>2</v>
      </c>
      <c r="F626" s="1">
        <v>21.2</v>
      </c>
      <c r="G626">
        <v>0</v>
      </c>
      <c r="H626" s="1">
        <v>0</v>
      </c>
      <c r="I626" s="1">
        <v>0</v>
      </c>
      <c r="J626" s="1">
        <v>21.2</v>
      </c>
      <c r="K626" s="1">
        <v>0</v>
      </c>
      <c r="L626" s="1">
        <v>21.2</v>
      </c>
      <c r="M626">
        <v>2</v>
      </c>
    </row>
    <row r="627" spans="1:13" x14ac:dyDescent="0.2">
      <c r="A627" t="s">
        <v>848</v>
      </c>
      <c r="B627" t="s">
        <v>14</v>
      </c>
      <c r="C627">
        <v>9339944008881</v>
      </c>
      <c r="D627" t="s">
        <v>146</v>
      </c>
      <c r="E627">
        <v>1</v>
      </c>
      <c r="F627" s="1">
        <v>10.6</v>
      </c>
      <c r="G627">
        <v>0</v>
      </c>
      <c r="H627" s="1">
        <v>0</v>
      </c>
      <c r="I627" s="1">
        <v>0</v>
      </c>
      <c r="J627" s="1">
        <v>10.6</v>
      </c>
      <c r="K627" s="1">
        <v>0</v>
      </c>
      <c r="L627" s="1">
        <v>10.6</v>
      </c>
      <c r="M627">
        <v>1</v>
      </c>
    </row>
    <row r="628" spans="1:13" x14ac:dyDescent="0.2">
      <c r="A628" t="s">
        <v>1126</v>
      </c>
      <c r="B628" t="s">
        <v>14</v>
      </c>
      <c r="C628">
        <v>9339944003534</v>
      </c>
      <c r="D628" t="s">
        <v>146</v>
      </c>
      <c r="E628">
        <v>1</v>
      </c>
      <c r="F628" s="1">
        <v>7.7</v>
      </c>
      <c r="G628">
        <v>0</v>
      </c>
      <c r="H628" s="1">
        <v>0</v>
      </c>
      <c r="I628" s="1">
        <v>0</v>
      </c>
      <c r="J628" s="1">
        <v>7.7</v>
      </c>
      <c r="K628" s="1">
        <v>0</v>
      </c>
      <c r="L628" s="1">
        <v>7.7</v>
      </c>
      <c r="M628">
        <v>1</v>
      </c>
    </row>
    <row r="629" spans="1:13" x14ac:dyDescent="0.2">
      <c r="A629" t="s">
        <v>849</v>
      </c>
      <c r="B629" t="s">
        <v>14</v>
      </c>
      <c r="C629">
        <v>9339944002643</v>
      </c>
      <c r="D629" t="s">
        <v>146</v>
      </c>
      <c r="E629">
        <v>1</v>
      </c>
      <c r="F629" s="1">
        <v>7.65</v>
      </c>
      <c r="G629">
        <v>0</v>
      </c>
      <c r="H629" s="1">
        <v>0</v>
      </c>
      <c r="I629" s="1">
        <v>0</v>
      </c>
      <c r="J629" s="1">
        <v>7.65</v>
      </c>
      <c r="K629" s="1">
        <v>0</v>
      </c>
      <c r="L629" s="1">
        <v>7.65</v>
      </c>
      <c r="M629">
        <v>1</v>
      </c>
    </row>
    <row r="630" spans="1:13" x14ac:dyDescent="0.2">
      <c r="A630" t="s">
        <v>1127</v>
      </c>
      <c r="B630" t="s">
        <v>14</v>
      </c>
      <c r="C630">
        <v>9339944006535</v>
      </c>
      <c r="D630" t="s">
        <v>146</v>
      </c>
      <c r="E630">
        <v>2</v>
      </c>
      <c r="F630" s="1">
        <v>21.8</v>
      </c>
      <c r="G630">
        <v>0</v>
      </c>
      <c r="H630" s="1">
        <v>0</v>
      </c>
      <c r="I630" s="1">
        <v>0</v>
      </c>
      <c r="J630" s="1">
        <v>21.8</v>
      </c>
      <c r="K630" s="1">
        <v>0</v>
      </c>
      <c r="L630" s="1">
        <v>21.8</v>
      </c>
      <c r="M630">
        <v>2</v>
      </c>
    </row>
    <row r="631" spans="1:13" x14ac:dyDescent="0.2">
      <c r="A631" t="s">
        <v>1128</v>
      </c>
      <c r="B631" t="s">
        <v>14</v>
      </c>
      <c r="C631">
        <v>8413629400014</v>
      </c>
      <c r="D631" t="s">
        <v>146</v>
      </c>
      <c r="E631">
        <v>2</v>
      </c>
      <c r="F631" s="1">
        <v>17.5</v>
      </c>
      <c r="G631">
        <v>0</v>
      </c>
      <c r="H631" s="1">
        <v>0</v>
      </c>
      <c r="I631" s="1">
        <v>0</v>
      </c>
      <c r="J631" s="1">
        <v>17.5</v>
      </c>
      <c r="K631" s="1">
        <v>0</v>
      </c>
      <c r="L631" s="1">
        <v>17.5</v>
      </c>
      <c r="M631">
        <v>2</v>
      </c>
    </row>
    <row r="632" spans="1:13" x14ac:dyDescent="0.2">
      <c r="A632" t="s">
        <v>850</v>
      </c>
      <c r="B632" t="s">
        <v>14</v>
      </c>
      <c r="C632">
        <v>9351857006112</v>
      </c>
      <c r="D632" t="s">
        <v>146</v>
      </c>
      <c r="E632">
        <v>1</v>
      </c>
      <c r="F632" s="1">
        <v>17.95</v>
      </c>
      <c r="G632">
        <v>0</v>
      </c>
      <c r="H632" s="1">
        <v>0</v>
      </c>
      <c r="I632" s="1">
        <v>0</v>
      </c>
      <c r="J632" s="1">
        <v>17.95</v>
      </c>
      <c r="K632" s="1">
        <v>0</v>
      </c>
      <c r="L632" s="1">
        <v>17.95</v>
      </c>
      <c r="M632">
        <v>1</v>
      </c>
    </row>
    <row r="633" spans="1:13" x14ac:dyDescent="0.2">
      <c r="A633" t="s">
        <v>1129</v>
      </c>
      <c r="B633" t="s">
        <v>14</v>
      </c>
      <c r="C633">
        <v>9350465000512</v>
      </c>
      <c r="D633" t="s">
        <v>146</v>
      </c>
      <c r="E633">
        <v>1</v>
      </c>
      <c r="F633" s="1">
        <v>15.9</v>
      </c>
      <c r="G633">
        <v>0</v>
      </c>
      <c r="H633" s="1">
        <v>0</v>
      </c>
      <c r="I633" s="1">
        <v>0</v>
      </c>
      <c r="J633" s="1">
        <v>15.9</v>
      </c>
      <c r="K633" s="1">
        <v>0</v>
      </c>
      <c r="L633" s="1">
        <v>15.9</v>
      </c>
      <c r="M633">
        <v>1</v>
      </c>
    </row>
    <row r="634" spans="1:13" x14ac:dyDescent="0.2">
      <c r="A634" t="s">
        <v>1130</v>
      </c>
      <c r="B634" t="s">
        <v>14</v>
      </c>
      <c r="C634">
        <v>9310342006204</v>
      </c>
      <c r="D634" t="s">
        <v>146</v>
      </c>
      <c r="E634">
        <v>1</v>
      </c>
      <c r="F634" s="1">
        <v>7.64</v>
      </c>
      <c r="G634">
        <v>0</v>
      </c>
      <c r="H634" s="1">
        <v>0</v>
      </c>
      <c r="I634" s="1">
        <v>0</v>
      </c>
      <c r="J634" s="1">
        <v>7.64</v>
      </c>
      <c r="K634" s="1">
        <v>1.56</v>
      </c>
      <c r="L634" s="1">
        <v>9.1999999999999993</v>
      </c>
      <c r="M634">
        <v>1</v>
      </c>
    </row>
    <row r="635" spans="1:13" x14ac:dyDescent="0.2">
      <c r="A635" t="s">
        <v>1131</v>
      </c>
      <c r="B635" t="s">
        <v>14</v>
      </c>
      <c r="C635">
        <v>9324648000057</v>
      </c>
      <c r="D635" t="s">
        <v>146</v>
      </c>
      <c r="E635">
        <v>3</v>
      </c>
      <c r="F635" s="1">
        <v>47.4</v>
      </c>
      <c r="G635">
        <v>0</v>
      </c>
      <c r="H635" s="1">
        <v>0</v>
      </c>
      <c r="I635" s="1">
        <v>0</v>
      </c>
      <c r="J635" s="1">
        <v>47.4</v>
      </c>
      <c r="K635" s="1">
        <v>0</v>
      </c>
      <c r="L635" s="1">
        <v>47.4</v>
      </c>
      <c r="M635">
        <v>3</v>
      </c>
    </row>
    <row r="636" spans="1:13" x14ac:dyDescent="0.2">
      <c r="A636" t="s">
        <v>1132</v>
      </c>
      <c r="B636" t="s">
        <v>14</v>
      </c>
      <c r="C636">
        <v>9339966000542</v>
      </c>
      <c r="D636" t="s">
        <v>567</v>
      </c>
      <c r="E636">
        <v>2</v>
      </c>
      <c r="F636" s="1">
        <v>18.07</v>
      </c>
      <c r="G636">
        <v>0</v>
      </c>
      <c r="H636" s="1">
        <v>0</v>
      </c>
      <c r="I636" s="1">
        <v>0</v>
      </c>
      <c r="J636" s="1">
        <v>18.07</v>
      </c>
      <c r="K636" s="1">
        <v>1.83</v>
      </c>
      <c r="L636" s="1">
        <v>19.899999999999999</v>
      </c>
      <c r="M636">
        <v>2</v>
      </c>
    </row>
    <row r="637" spans="1:13" x14ac:dyDescent="0.2">
      <c r="A637" t="s">
        <v>851</v>
      </c>
      <c r="B637" t="s">
        <v>14</v>
      </c>
      <c r="C637">
        <v>9339966000535</v>
      </c>
      <c r="D637" t="s">
        <v>567</v>
      </c>
      <c r="E637">
        <v>2</v>
      </c>
      <c r="F637" s="1">
        <v>18.07</v>
      </c>
      <c r="G637">
        <v>0</v>
      </c>
      <c r="H637" s="1">
        <v>0</v>
      </c>
      <c r="I637" s="1">
        <v>0</v>
      </c>
      <c r="J637" s="1">
        <v>18.07</v>
      </c>
      <c r="K637" s="1">
        <v>1.83</v>
      </c>
      <c r="L637" s="1">
        <v>19.899999999999999</v>
      </c>
      <c r="M637">
        <v>2</v>
      </c>
    </row>
    <row r="638" spans="1:13" x14ac:dyDescent="0.2">
      <c r="A638" t="s">
        <v>852</v>
      </c>
      <c r="B638" t="s">
        <v>14</v>
      </c>
      <c r="C638">
        <v>9339966000559</v>
      </c>
      <c r="D638" t="s">
        <v>567</v>
      </c>
      <c r="E638">
        <v>2</v>
      </c>
      <c r="F638" s="1">
        <v>18.079999999999998</v>
      </c>
      <c r="G638">
        <v>0</v>
      </c>
      <c r="H638" s="1">
        <v>0</v>
      </c>
      <c r="I638" s="1">
        <v>0</v>
      </c>
      <c r="J638" s="1">
        <v>18.079999999999998</v>
      </c>
      <c r="K638" s="1">
        <v>1.82</v>
      </c>
      <c r="L638" s="1">
        <v>19.899999999999999</v>
      </c>
      <c r="M638">
        <v>2</v>
      </c>
    </row>
    <row r="639" spans="1:13" x14ac:dyDescent="0.2">
      <c r="A639" t="s">
        <v>1133</v>
      </c>
      <c r="B639" t="s">
        <v>14</v>
      </c>
      <c r="C639">
        <v>60218060</v>
      </c>
      <c r="D639" t="s">
        <v>567</v>
      </c>
      <c r="E639">
        <v>1</v>
      </c>
      <c r="F639" s="1">
        <v>24.52</v>
      </c>
      <c r="G639">
        <v>0</v>
      </c>
      <c r="H639" s="1">
        <v>0</v>
      </c>
      <c r="I639" s="1">
        <v>0</v>
      </c>
      <c r="J639" s="1">
        <v>24.52</v>
      </c>
      <c r="K639" s="1">
        <v>2.48</v>
      </c>
      <c r="L639" s="1">
        <v>27</v>
      </c>
      <c r="M639">
        <v>1</v>
      </c>
    </row>
    <row r="640" spans="1:13" x14ac:dyDescent="0.2">
      <c r="A640" t="s">
        <v>1134</v>
      </c>
      <c r="B640" t="s">
        <v>14</v>
      </c>
      <c r="C640">
        <v>5060391848242</v>
      </c>
      <c r="D640" t="s">
        <v>567</v>
      </c>
      <c r="E640">
        <v>1</v>
      </c>
      <c r="F640" s="1">
        <v>18</v>
      </c>
      <c r="G640">
        <v>0</v>
      </c>
      <c r="H640" s="1">
        <v>0</v>
      </c>
      <c r="I640" s="1">
        <v>0</v>
      </c>
      <c r="J640" s="1">
        <v>18</v>
      </c>
      <c r="K640" s="1">
        <v>0</v>
      </c>
      <c r="L640" s="1">
        <v>18</v>
      </c>
      <c r="M640">
        <v>1</v>
      </c>
    </row>
    <row r="641" spans="1:13" x14ac:dyDescent="0.2">
      <c r="A641" t="s">
        <v>853</v>
      </c>
      <c r="B641" t="s">
        <v>14</v>
      </c>
      <c r="C641">
        <v>9352471000753</v>
      </c>
      <c r="D641" t="s">
        <v>567</v>
      </c>
      <c r="E641">
        <v>4</v>
      </c>
      <c r="F641" s="1">
        <v>70.44</v>
      </c>
      <c r="G641">
        <v>0</v>
      </c>
      <c r="H641" s="1">
        <v>0</v>
      </c>
      <c r="I641" s="1">
        <v>-11.46</v>
      </c>
      <c r="J641" s="1">
        <v>58.98</v>
      </c>
      <c r="K641" s="1">
        <v>5.96</v>
      </c>
      <c r="L641" s="1">
        <v>64.94</v>
      </c>
      <c r="M641">
        <v>4</v>
      </c>
    </row>
    <row r="642" spans="1:13" x14ac:dyDescent="0.2">
      <c r="A642" t="s">
        <v>1135</v>
      </c>
      <c r="B642" t="s">
        <v>14</v>
      </c>
      <c r="C642">
        <v>5032722306011</v>
      </c>
      <c r="D642" t="s">
        <v>147</v>
      </c>
      <c r="E642">
        <v>1</v>
      </c>
      <c r="F642" s="1">
        <v>10.7</v>
      </c>
      <c r="G642">
        <v>0</v>
      </c>
      <c r="H642" s="1">
        <v>0</v>
      </c>
      <c r="I642" s="1">
        <v>-1.41</v>
      </c>
      <c r="J642" s="1">
        <v>9.2899999999999991</v>
      </c>
      <c r="K642" s="1">
        <v>0</v>
      </c>
      <c r="L642" s="1">
        <v>9.2899999999999991</v>
      </c>
      <c r="M642">
        <v>1</v>
      </c>
    </row>
    <row r="643" spans="1:13" x14ac:dyDescent="0.2">
      <c r="A643" t="s">
        <v>1136</v>
      </c>
      <c r="B643" t="s">
        <v>14</v>
      </c>
      <c r="C643">
        <v>9309001779009</v>
      </c>
      <c r="D643" t="s">
        <v>147</v>
      </c>
      <c r="E643">
        <v>1</v>
      </c>
      <c r="F643" s="1">
        <v>14.25</v>
      </c>
      <c r="G643">
        <v>0</v>
      </c>
      <c r="H643" s="1">
        <v>0</v>
      </c>
      <c r="I643" s="1">
        <v>-2.85</v>
      </c>
      <c r="J643" s="1">
        <v>11.4</v>
      </c>
      <c r="K643" s="1">
        <v>0</v>
      </c>
      <c r="L643" s="1">
        <v>11.4</v>
      </c>
      <c r="M643">
        <v>1</v>
      </c>
    </row>
    <row r="644" spans="1:13" x14ac:dyDescent="0.2">
      <c r="A644" t="s">
        <v>1137</v>
      </c>
      <c r="B644" t="s">
        <v>14</v>
      </c>
      <c r="C644">
        <v>9415748017653</v>
      </c>
      <c r="D644" t="s">
        <v>147</v>
      </c>
      <c r="E644">
        <v>2</v>
      </c>
      <c r="F644" s="1">
        <v>14.6</v>
      </c>
      <c r="G644">
        <v>0</v>
      </c>
      <c r="H644" s="1">
        <v>0</v>
      </c>
      <c r="I644" s="1">
        <v>0</v>
      </c>
      <c r="J644" s="1">
        <v>14.6</v>
      </c>
      <c r="K644" s="1">
        <v>0</v>
      </c>
      <c r="L644" s="1">
        <v>14.6</v>
      </c>
      <c r="M644">
        <v>2</v>
      </c>
    </row>
    <row r="645" spans="1:13" x14ac:dyDescent="0.2">
      <c r="A645" t="s">
        <v>1138</v>
      </c>
      <c r="B645" t="s">
        <v>14</v>
      </c>
      <c r="C645">
        <v>9342935002911</v>
      </c>
      <c r="D645" t="s">
        <v>148</v>
      </c>
      <c r="E645">
        <v>1</v>
      </c>
      <c r="F645" s="1">
        <v>12.35</v>
      </c>
      <c r="G645">
        <v>0</v>
      </c>
      <c r="H645" s="1">
        <v>0</v>
      </c>
      <c r="I645" s="1">
        <v>0</v>
      </c>
      <c r="J645" s="1">
        <v>12.35</v>
      </c>
      <c r="K645" s="1">
        <v>1.25</v>
      </c>
      <c r="L645" s="1">
        <v>13.6</v>
      </c>
      <c r="M645">
        <v>1</v>
      </c>
    </row>
    <row r="646" spans="1:13" x14ac:dyDescent="0.2">
      <c r="A646" t="s">
        <v>1139</v>
      </c>
      <c r="B646" t="s">
        <v>14</v>
      </c>
      <c r="C646">
        <v>9333544007442</v>
      </c>
      <c r="D646" t="s">
        <v>148</v>
      </c>
      <c r="E646">
        <v>1</v>
      </c>
      <c r="F646" s="1">
        <v>40.049999999999997</v>
      </c>
      <c r="G646">
        <v>0</v>
      </c>
      <c r="H646" s="1">
        <v>0</v>
      </c>
      <c r="I646" s="1">
        <v>0</v>
      </c>
      <c r="J646" s="1">
        <v>40.049999999999997</v>
      </c>
      <c r="K646" s="1">
        <v>4.05</v>
      </c>
      <c r="L646" s="1">
        <v>44.1</v>
      </c>
      <c r="M646">
        <v>1</v>
      </c>
    </row>
    <row r="647" spans="1:13" x14ac:dyDescent="0.2">
      <c r="A647" t="s">
        <v>1140</v>
      </c>
      <c r="B647" t="s">
        <v>14</v>
      </c>
      <c r="C647">
        <v>9321582004530</v>
      </c>
      <c r="D647" t="s">
        <v>148</v>
      </c>
      <c r="E647">
        <v>1</v>
      </c>
      <c r="F647" s="1">
        <v>11.53</v>
      </c>
      <c r="G647">
        <v>0</v>
      </c>
      <c r="H647" s="1">
        <v>0</v>
      </c>
      <c r="I647" s="1">
        <v>0</v>
      </c>
      <c r="J647" s="1">
        <v>11.53</v>
      </c>
      <c r="K647" s="1">
        <v>1.17</v>
      </c>
      <c r="L647" s="1">
        <v>12.7</v>
      </c>
      <c r="M647">
        <v>1</v>
      </c>
    </row>
    <row r="648" spans="1:13" x14ac:dyDescent="0.2">
      <c r="A648" t="s">
        <v>1141</v>
      </c>
      <c r="B648" t="s">
        <v>14</v>
      </c>
      <c r="C648">
        <v>9421905637008</v>
      </c>
      <c r="D648" t="s">
        <v>148</v>
      </c>
      <c r="E648">
        <v>1</v>
      </c>
      <c r="F648" s="1">
        <v>9.58</v>
      </c>
      <c r="G648">
        <v>0</v>
      </c>
      <c r="H648" s="1">
        <v>0</v>
      </c>
      <c r="I648" s="1">
        <v>0</v>
      </c>
      <c r="J648" s="1">
        <v>9.58</v>
      </c>
      <c r="K648" s="1">
        <v>0.97</v>
      </c>
      <c r="L648" s="1">
        <v>10.55</v>
      </c>
      <c r="M648">
        <v>1</v>
      </c>
    </row>
    <row r="649" spans="1:13" x14ac:dyDescent="0.2">
      <c r="A649" t="s">
        <v>1142</v>
      </c>
      <c r="B649" t="s">
        <v>14</v>
      </c>
      <c r="C649">
        <v>9352471000135</v>
      </c>
      <c r="D649" t="s">
        <v>148</v>
      </c>
      <c r="E649">
        <v>2</v>
      </c>
      <c r="F649" s="1">
        <v>28.88</v>
      </c>
      <c r="G649">
        <v>0</v>
      </c>
      <c r="H649" s="1">
        <v>0</v>
      </c>
      <c r="I649" s="1">
        <v>0</v>
      </c>
      <c r="J649" s="1">
        <v>28.88</v>
      </c>
      <c r="K649" s="1">
        <v>2.92</v>
      </c>
      <c r="L649" s="1">
        <v>31.8</v>
      </c>
      <c r="M649">
        <v>2</v>
      </c>
    </row>
    <row r="650" spans="1:13" x14ac:dyDescent="0.2">
      <c r="A650" t="s">
        <v>568</v>
      </c>
      <c r="B650" t="s">
        <v>14</v>
      </c>
      <c r="C650">
        <v>9352471000166</v>
      </c>
      <c r="D650" t="s">
        <v>148</v>
      </c>
      <c r="E650">
        <v>2</v>
      </c>
      <c r="F650" s="1">
        <v>58.08</v>
      </c>
      <c r="G650">
        <v>0</v>
      </c>
      <c r="H650" s="1">
        <v>0</v>
      </c>
      <c r="I650" s="1">
        <v>-3.55</v>
      </c>
      <c r="J650" s="1">
        <v>54.53</v>
      </c>
      <c r="K650" s="1">
        <v>5.52</v>
      </c>
      <c r="L650" s="1">
        <v>60.05</v>
      </c>
      <c r="M650">
        <v>2</v>
      </c>
    </row>
    <row r="651" spans="1:13" x14ac:dyDescent="0.2">
      <c r="A651" t="s">
        <v>1143</v>
      </c>
      <c r="B651" t="s">
        <v>14</v>
      </c>
      <c r="C651">
        <v>9352471000562</v>
      </c>
      <c r="D651" t="s">
        <v>148</v>
      </c>
      <c r="E651">
        <v>1</v>
      </c>
      <c r="F651" s="1">
        <v>14.44</v>
      </c>
      <c r="G651">
        <v>0</v>
      </c>
      <c r="H651" s="1">
        <v>0</v>
      </c>
      <c r="I651" s="1">
        <v>0</v>
      </c>
      <c r="J651" s="1">
        <v>14.44</v>
      </c>
      <c r="K651" s="1">
        <v>1.46</v>
      </c>
      <c r="L651" s="1">
        <v>15.9</v>
      </c>
      <c r="M651">
        <v>1</v>
      </c>
    </row>
    <row r="652" spans="1:13" x14ac:dyDescent="0.2">
      <c r="A652" t="s">
        <v>1144</v>
      </c>
      <c r="B652" t="s">
        <v>14</v>
      </c>
      <c r="C652">
        <v>9342935001549</v>
      </c>
      <c r="D652" t="s">
        <v>148</v>
      </c>
      <c r="E652">
        <v>1</v>
      </c>
      <c r="F652" s="1">
        <v>9.67</v>
      </c>
      <c r="G652">
        <v>0</v>
      </c>
      <c r="H652" s="1">
        <v>0</v>
      </c>
      <c r="I652" s="1">
        <v>0</v>
      </c>
      <c r="J652" s="1">
        <v>9.67</v>
      </c>
      <c r="K652" s="1">
        <v>0.98</v>
      </c>
      <c r="L652" s="1">
        <v>10.65</v>
      </c>
      <c r="M652">
        <v>1</v>
      </c>
    </row>
    <row r="653" spans="1:13" x14ac:dyDescent="0.2">
      <c r="A653" t="s">
        <v>1145</v>
      </c>
      <c r="B653" t="s">
        <v>14</v>
      </c>
      <c r="C653">
        <v>9342935001396</v>
      </c>
      <c r="D653" t="s">
        <v>148</v>
      </c>
      <c r="E653">
        <v>2</v>
      </c>
      <c r="F653" s="1">
        <v>30.24</v>
      </c>
      <c r="G653">
        <v>0</v>
      </c>
      <c r="H653" s="1">
        <v>0</v>
      </c>
      <c r="I653" s="1">
        <v>0</v>
      </c>
      <c r="J653" s="1">
        <v>30.24</v>
      </c>
      <c r="K653" s="1">
        <v>3.06</v>
      </c>
      <c r="L653" s="1">
        <v>33.299999999999997</v>
      </c>
      <c r="M653">
        <v>2</v>
      </c>
    </row>
    <row r="654" spans="1:13" x14ac:dyDescent="0.2">
      <c r="A654" t="s">
        <v>1146</v>
      </c>
      <c r="B654" t="s">
        <v>14</v>
      </c>
      <c r="C654">
        <v>9342935003222</v>
      </c>
      <c r="D654" t="s">
        <v>148</v>
      </c>
      <c r="E654">
        <v>1</v>
      </c>
      <c r="F654" s="1">
        <v>9.7200000000000006</v>
      </c>
      <c r="G654">
        <v>0</v>
      </c>
      <c r="H654" s="1">
        <v>0</v>
      </c>
      <c r="I654" s="1">
        <v>0</v>
      </c>
      <c r="J654" s="1">
        <v>9.7200000000000006</v>
      </c>
      <c r="K654" s="1">
        <v>0.98</v>
      </c>
      <c r="L654" s="1">
        <v>10.7</v>
      </c>
      <c r="M654">
        <v>1</v>
      </c>
    </row>
    <row r="655" spans="1:13" x14ac:dyDescent="0.2">
      <c r="A655" t="s">
        <v>1147</v>
      </c>
      <c r="B655" t="s">
        <v>14</v>
      </c>
      <c r="C655">
        <v>9342935003246</v>
      </c>
      <c r="D655" t="s">
        <v>148</v>
      </c>
      <c r="E655">
        <v>2</v>
      </c>
      <c r="F655" s="1">
        <v>23.12</v>
      </c>
      <c r="G655">
        <v>0</v>
      </c>
      <c r="H655" s="1">
        <v>0</v>
      </c>
      <c r="I655" s="1">
        <v>-2.52</v>
      </c>
      <c r="J655" s="1">
        <v>20.6</v>
      </c>
      <c r="K655" s="1">
        <v>2.08</v>
      </c>
      <c r="L655" s="1">
        <v>22.68</v>
      </c>
      <c r="M655">
        <v>2</v>
      </c>
    </row>
    <row r="656" spans="1:13" x14ac:dyDescent="0.2">
      <c r="A656" t="s">
        <v>1148</v>
      </c>
      <c r="B656" t="s">
        <v>14</v>
      </c>
      <c r="C656">
        <v>9342935003390</v>
      </c>
      <c r="D656" t="s">
        <v>148</v>
      </c>
      <c r="E656">
        <v>1</v>
      </c>
      <c r="F656" s="1">
        <v>9.67</v>
      </c>
      <c r="G656">
        <v>0</v>
      </c>
      <c r="H656" s="1">
        <v>0</v>
      </c>
      <c r="I656" s="1">
        <v>0</v>
      </c>
      <c r="J656" s="1">
        <v>9.67</v>
      </c>
      <c r="K656" s="1">
        <v>0.98</v>
      </c>
      <c r="L656" s="1">
        <v>10.65</v>
      </c>
      <c r="M656">
        <v>1</v>
      </c>
    </row>
    <row r="657" spans="1:13" x14ac:dyDescent="0.2">
      <c r="A657" t="s">
        <v>854</v>
      </c>
      <c r="B657" t="s">
        <v>14</v>
      </c>
      <c r="C657">
        <v>9352369000070</v>
      </c>
      <c r="D657" t="s">
        <v>148</v>
      </c>
      <c r="E657">
        <v>2</v>
      </c>
      <c r="F657" s="1">
        <v>9.8000000000000007</v>
      </c>
      <c r="G657">
        <v>0</v>
      </c>
      <c r="H657" s="1">
        <v>0</v>
      </c>
      <c r="I657" s="1">
        <v>0</v>
      </c>
      <c r="J657" s="1">
        <v>9.8000000000000007</v>
      </c>
      <c r="K657" s="1">
        <v>1</v>
      </c>
      <c r="L657" s="1">
        <v>10.8</v>
      </c>
      <c r="M657">
        <v>2</v>
      </c>
    </row>
    <row r="658" spans="1:13" x14ac:dyDescent="0.2">
      <c r="A658" t="s">
        <v>1149</v>
      </c>
      <c r="B658" t="s">
        <v>14</v>
      </c>
      <c r="C658">
        <v>9369999309503</v>
      </c>
      <c r="D658" t="s">
        <v>148</v>
      </c>
      <c r="E658">
        <v>3</v>
      </c>
      <c r="F658" s="1">
        <v>5.46</v>
      </c>
      <c r="G658">
        <v>0</v>
      </c>
      <c r="H658" s="1">
        <v>0</v>
      </c>
      <c r="I658" s="1">
        <v>0</v>
      </c>
      <c r="J658" s="1">
        <v>5.46</v>
      </c>
      <c r="K658" s="1">
        <v>0.54</v>
      </c>
      <c r="L658" s="1">
        <v>6</v>
      </c>
      <c r="M658">
        <v>3</v>
      </c>
    </row>
    <row r="659" spans="1:13" x14ac:dyDescent="0.2">
      <c r="A659" t="s">
        <v>380</v>
      </c>
      <c r="B659" t="s">
        <v>14</v>
      </c>
      <c r="C659">
        <v>806809696679</v>
      </c>
      <c r="D659" t="s">
        <v>149</v>
      </c>
      <c r="E659">
        <v>23</v>
      </c>
      <c r="F659" s="1">
        <v>161.91999999999999</v>
      </c>
      <c r="G659">
        <v>0</v>
      </c>
      <c r="H659" s="1">
        <v>0</v>
      </c>
      <c r="I659" s="1">
        <v>0</v>
      </c>
      <c r="J659" s="1">
        <v>161.91999999999999</v>
      </c>
      <c r="K659" s="1">
        <v>16.329999999999998</v>
      </c>
      <c r="L659" s="1">
        <v>178.25</v>
      </c>
      <c r="M659">
        <v>23</v>
      </c>
    </row>
    <row r="660" spans="1:13" x14ac:dyDescent="0.2">
      <c r="A660" t="s">
        <v>685</v>
      </c>
      <c r="B660" t="s">
        <v>14</v>
      </c>
      <c r="C660">
        <v>746160782119</v>
      </c>
      <c r="D660" t="s">
        <v>149</v>
      </c>
      <c r="E660">
        <v>1</v>
      </c>
      <c r="F660" s="1">
        <v>26.49</v>
      </c>
      <c r="G660">
        <v>0</v>
      </c>
      <c r="H660" s="1">
        <v>0</v>
      </c>
      <c r="I660" s="1">
        <v>-2.89</v>
      </c>
      <c r="J660" s="1">
        <v>23.6</v>
      </c>
      <c r="K660" s="1">
        <v>2.36</v>
      </c>
      <c r="L660" s="1">
        <v>25.96</v>
      </c>
      <c r="M660">
        <v>1</v>
      </c>
    </row>
    <row r="661" spans="1:13" x14ac:dyDescent="0.2">
      <c r="A661" t="s">
        <v>484</v>
      </c>
      <c r="B661" t="s">
        <v>14</v>
      </c>
      <c r="C661">
        <v>610395775737</v>
      </c>
      <c r="D661" t="s">
        <v>149</v>
      </c>
      <c r="E661">
        <v>4</v>
      </c>
      <c r="F661" s="1">
        <v>19.96</v>
      </c>
      <c r="G661">
        <v>0</v>
      </c>
      <c r="H661" s="1">
        <v>0</v>
      </c>
      <c r="I661" s="1">
        <v>0</v>
      </c>
      <c r="J661" s="1">
        <v>19.96</v>
      </c>
      <c r="K661" s="1">
        <v>2.04</v>
      </c>
      <c r="L661" s="1">
        <v>22</v>
      </c>
      <c r="M661">
        <v>4</v>
      </c>
    </row>
    <row r="662" spans="1:13" x14ac:dyDescent="0.2">
      <c r="A662" t="s">
        <v>1150</v>
      </c>
      <c r="B662" t="s">
        <v>14</v>
      </c>
      <c r="C662">
        <v>610395775775</v>
      </c>
      <c r="D662" t="s">
        <v>149</v>
      </c>
      <c r="E662">
        <v>2</v>
      </c>
      <c r="F662" s="1">
        <v>9.99</v>
      </c>
      <c r="G662">
        <v>0</v>
      </c>
      <c r="H662" s="1">
        <v>0</v>
      </c>
      <c r="I662" s="1">
        <v>0</v>
      </c>
      <c r="J662" s="1">
        <v>9.99</v>
      </c>
      <c r="K662" s="1">
        <v>1.01</v>
      </c>
      <c r="L662" s="1">
        <v>11</v>
      </c>
      <c r="M662">
        <v>2</v>
      </c>
    </row>
    <row r="663" spans="1:13" x14ac:dyDescent="0.2">
      <c r="A663" t="s">
        <v>1151</v>
      </c>
      <c r="B663" t="s">
        <v>14</v>
      </c>
      <c r="C663">
        <v>610395775744</v>
      </c>
      <c r="D663" t="s">
        <v>149</v>
      </c>
      <c r="E663">
        <v>2</v>
      </c>
      <c r="F663" s="1">
        <v>9.98</v>
      </c>
      <c r="G663">
        <v>0</v>
      </c>
      <c r="H663" s="1">
        <v>0</v>
      </c>
      <c r="I663" s="1">
        <v>0</v>
      </c>
      <c r="J663" s="1">
        <v>9.98</v>
      </c>
      <c r="K663" s="1">
        <v>1.02</v>
      </c>
      <c r="L663" s="1">
        <v>11</v>
      </c>
      <c r="M663">
        <v>2</v>
      </c>
    </row>
    <row r="664" spans="1:13" x14ac:dyDescent="0.2">
      <c r="A664" t="s">
        <v>569</v>
      </c>
      <c r="B664" t="s">
        <v>14</v>
      </c>
      <c r="C664">
        <v>610395775751</v>
      </c>
      <c r="D664" t="s">
        <v>149</v>
      </c>
      <c r="E664">
        <v>4</v>
      </c>
      <c r="F664" s="1">
        <v>19.989999999999998</v>
      </c>
      <c r="G664">
        <v>0</v>
      </c>
      <c r="H664" s="1">
        <v>0</v>
      </c>
      <c r="I664" s="1">
        <v>0</v>
      </c>
      <c r="J664" s="1">
        <v>19.989999999999998</v>
      </c>
      <c r="K664" s="1">
        <v>2.0099999999999998</v>
      </c>
      <c r="L664" s="1">
        <v>22</v>
      </c>
      <c r="M664">
        <v>4</v>
      </c>
    </row>
    <row r="665" spans="1:13" x14ac:dyDescent="0.2">
      <c r="A665" t="s">
        <v>485</v>
      </c>
      <c r="B665" t="s">
        <v>14</v>
      </c>
      <c r="C665">
        <v>610395775805</v>
      </c>
      <c r="D665" t="s">
        <v>149</v>
      </c>
      <c r="E665">
        <v>2</v>
      </c>
      <c r="F665" s="1">
        <v>9.98</v>
      </c>
      <c r="G665">
        <v>0</v>
      </c>
      <c r="H665" s="1">
        <v>0</v>
      </c>
      <c r="I665" s="1">
        <v>0</v>
      </c>
      <c r="J665" s="1">
        <v>9.98</v>
      </c>
      <c r="K665" s="1">
        <v>1.02</v>
      </c>
      <c r="L665" s="1">
        <v>11</v>
      </c>
      <c r="M665">
        <v>2</v>
      </c>
    </row>
    <row r="666" spans="1:13" x14ac:dyDescent="0.2">
      <c r="A666" t="s">
        <v>1152</v>
      </c>
      <c r="B666" t="s">
        <v>14</v>
      </c>
      <c r="C666">
        <v>610395775843</v>
      </c>
      <c r="D666" t="s">
        <v>149</v>
      </c>
      <c r="E666">
        <v>4</v>
      </c>
      <c r="F666" s="1">
        <v>19.989999999999998</v>
      </c>
      <c r="G666">
        <v>0</v>
      </c>
      <c r="H666" s="1">
        <v>0</v>
      </c>
      <c r="I666" s="1">
        <v>0</v>
      </c>
      <c r="J666" s="1">
        <v>19.989999999999998</v>
      </c>
      <c r="K666" s="1">
        <v>2.0099999999999998</v>
      </c>
      <c r="L666" s="1">
        <v>22</v>
      </c>
      <c r="M666">
        <v>4</v>
      </c>
    </row>
    <row r="667" spans="1:13" x14ac:dyDescent="0.2">
      <c r="A667" t="s">
        <v>686</v>
      </c>
      <c r="B667" t="s">
        <v>14</v>
      </c>
      <c r="C667">
        <v>610395775812</v>
      </c>
      <c r="D667" t="s">
        <v>149</v>
      </c>
      <c r="E667">
        <v>3</v>
      </c>
      <c r="F667" s="1">
        <v>15.19</v>
      </c>
      <c r="G667">
        <v>0</v>
      </c>
      <c r="H667" s="1">
        <v>0</v>
      </c>
      <c r="I667" s="1">
        <v>-2.2000000000000002</v>
      </c>
      <c r="J667" s="1">
        <v>12.99</v>
      </c>
      <c r="K667" s="1">
        <v>1.31</v>
      </c>
      <c r="L667" s="1">
        <v>14.3</v>
      </c>
      <c r="M667">
        <v>3</v>
      </c>
    </row>
    <row r="668" spans="1:13" x14ac:dyDescent="0.2">
      <c r="A668" t="s">
        <v>855</v>
      </c>
      <c r="B668" t="s">
        <v>14</v>
      </c>
      <c r="C668">
        <v>8437020396028</v>
      </c>
      <c r="D668" t="s">
        <v>149</v>
      </c>
      <c r="E668">
        <v>3</v>
      </c>
      <c r="F668" s="1">
        <v>35.28</v>
      </c>
      <c r="G668">
        <v>0</v>
      </c>
      <c r="H668" s="1">
        <v>0</v>
      </c>
      <c r="I668" s="1">
        <v>0</v>
      </c>
      <c r="J668" s="1">
        <v>35.28</v>
      </c>
      <c r="K668" s="1">
        <v>3.57</v>
      </c>
      <c r="L668" s="1">
        <v>38.85</v>
      </c>
      <c r="M668">
        <v>3</v>
      </c>
    </row>
    <row r="669" spans="1:13" x14ac:dyDescent="0.2">
      <c r="A669" t="s">
        <v>856</v>
      </c>
      <c r="B669" t="s">
        <v>14</v>
      </c>
      <c r="C669">
        <v>8437020396011</v>
      </c>
      <c r="D669" t="s">
        <v>149</v>
      </c>
      <c r="E669">
        <v>2</v>
      </c>
      <c r="F669" s="1">
        <v>23.52</v>
      </c>
      <c r="G669">
        <v>0</v>
      </c>
      <c r="H669" s="1">
        <v>0</v>
      </c>
      <c r="I669" s="1">
        <v>0</v>
      </c>
      <c r="J669" s="1">
        <v>23.52</v>
      </c>
      <c r="K669" s="1">
        <v>2.38</v>
      </c>
      <c r="L669" s="1">
        <v>25.9</v>
      </c>
      <c r="M669">
        <v>2</v>
      </c>
    </row>
    <row r="670" spans="1:13" x14ac:dyDescent="0.2">
      <c r="A670" t="s">
        <v>687</v>
      </c>
      <c r="B670" t="s">
        <v>14</v>
      </c>
      <c r="C670">
        <v>9351412000104</v>
      </c>
      <c r="D670" t="s">
        <v>149</v>
      </c>
      <c r="E670">
        <v>6</v>
      </c>
      <c r="F670" s="1">
        <v>24.52</v>
      </c>
      <c r="G670">
        <v>0</v>
      </c>
      <c r="H670" s="1">
        <v>0</v>
      </c>
      <c r="I670" s="1">
        <v>0</v>
      </c>
      <c r="J670" s="1">
        <v>24.52</v>
      </c>
      <c r="K670" s="1">
        <v>2.48</v>
      </c>
      <c r="L670" s="1">
        <v>27</v>
      </c>
      <c r="M670">
        <v>6</v>
      </c>
    </row>
    <row r="671" spans="1:13" x14ac:dyDescent="0.2">
      <c r="A671" t="s">
        <v>381</v>
      </c>
      <c r="B671" t="s">
        <v>14</v>
      </c>
      <c r="C671">
        <v>9351412000005</v>
      </c>
      <c r="D671" t="s">
        <v>149</v>
      </c>
      <c r="E671">
        <v>1</v>
      </c>
      <c r="F671" s="1">
        <v>4.09</v>
      </c>
      <c r="G671">
        <v>0</v>
      </c>
      <c r="H671" s="1">
        <v>0</v>
      </c>
      <c r="I671" s="1">
        <v>0</v>
      </c>
      <c r="J671" s="1">
        <v>4.09</v>
      </c>
      <c r="K671" s="1">
        <v>0.41</v>
      </c>
      <c r="L671" s="1">
        <v>4.5</v>
      </c>
      <c r="M671">
        <v>1</v>
      </c>
    </row>
    <row r="672" spans="1:13" x14ac:dyDescent="0.2">
      <c r="A672" t="s">
        <v>486</v>
      </c>
      <c r="B672" t="s">
        <v>14</v>
      </c>
      <c r="C672">
        <v>9351412000098</v>
      </c>
      <c r="D672" t="s">
        <v>149</v>
      </c>
      <c r="E672">
        <v>2</v>
      </c>
      <c r="F672" s="1">
        <v>8.26</v>
      </c>
      <c r="G672">
        <v>0</v>
      </c>
      <c r="H672" s="1">
        <v>0</v>
      </c>
      <c r="I672" s="1">
        <v>-0.9</v>
      </c>
      <c r="J672" s="1">
        <v>7.36</v>
      </c>
      <c r="K672" s="1">
        <v>0.74</v>
      </c>
      <c r="L672" s="1">
        <v>8.1</v>
      </c>
      <c r="M672">
        <v>2</v>
      </c>
    </row>
    <row r="673" spans="1:13" x14ac:dyDescent="0.2">
      <c r="A673" t="s">
        <v>688</v>
      </c>
      <c r="B673" t="s">
        <v>14</v>
      </c>
      <c r="C673">
        <v>9351412000029</v>
      </c>
      <c r="D673" t="s">
        <v>149</v>
      </c>
      <c r="E673">
        <v>2</v>
      </c>
      <c r="F673" s="1">
        <v>8.17</v>
      </c>
      <c r="G673">
        <v>0</v>
      </c>
      <c r="H673" s="1">
        <v>0</v>
      </c>
      <c r="I673" s="1">
        <v>0</v>
      </c>
      <c r="J673" s="1">
        <v>8.17</v>
      </c>
      <c r="K673" s="1">
        <v>0.83</v>
      </c>
      <c r="L673" s="1">
        <v>9</v>
      </c>
      <c r="M673">
        <v>2</v>
      </c>
    </row>
    <row r="674" spans="1:13" x14ac:dyDescent="0.2">
      <c r="A674" t="s">
        <v>487</v>
      </c>
      <c r="B674" t="s">
        <v>14</v>
      </c>
      <c r="C674">
        <v>9351412000081</v>
      </c>
      <c r="D674" t="s">
        <v>149</v>
      </c>
      <c r="E674">
        <v>2</v>
      </c>
      <c r="F674" s="1">
        <v>8.18</v>
      </c>
      <c r="G674">
        <v>0</v>
      </c>
      <c r="H674" s="1">
        <v>0</v>
      </c>
      <c r="I674" s="1">
        <v>0</v>
      </c>
      <c r="J674" s="1">
        <v>8.18</v>
      </c>
      <c r="K674" s="1">
        <v>0.82</v>
      </c>
      <c r="L674" s="1">
        <v>9</v>
      </c>
      <c r="M674">
        <v>2</v>
      </c>
    </row>
    <row r="675" spans="1:13" x14ac:dyDescent="0.2">
      <c r="A675" t="s">
        <v>150</v>
      </c>
      <c r="B675" t="s">
        <v>14</v>
      </c>
      <c r="C675">
        <v>9351412000043</v>
      </c>
      <c r="D675" t="s">
        <v>149</v>
      </c>
      <c r="E675">
        <v>3</v>
      </c>
      <c r="F675" s="1">
        <v>12.26</v>
      </c>
      <c r="G675">
        <v>0</v>
      </c>
      <c r="H675" s="1">
        <v>0</v>
      </c>
      <c r="I675" s="1">
        <v>0</v>
      </c>
      <c r="J675" s="1">
        <v>12.26</v>
      </c>
      <c r="K675" s="1">
        <v>1.24</v>
      </c>
      <c r="L675" s="1">
        <v>13.5</v>
      </c>
      <c r="M675">
        <v>3</v>
      </c>
    </row>
    <row r="676" spans="1:13" x14ac:dyDescent="0.2">
      <c r="A676" t="s">
        <v>151</v>
      </c>
      <c r="B676" t="s">
        <v>14</v>
      </c>
      <c r="C676">
        <v>9351412000067</v>
      </c>
      <c r="D676" t="s">
        <v>149</v>
      </c>
      <c r="E676">
        <v>5</v>
      </c>
      <c r="F676" s="1">
        <v>20.45</v>
      </c>
      <c r="G676">
        <v>0</v>
      </c>
      <c r="H676" s="1">
        <v>0</v>
      </c>
      <c r="I676" s="1">
        <v>0</v>
      </c>
      <c r="J676" s="1">
        <v>20.45</v>
      </c>
      <c r="K676" s="1">
        <v>2.0499999999999998</v>
      </c>
      <c r="L676" s="1">
        <v>22.5</v>
      </c>
      <c r="M676">
        <v>5</v>
      </c>
    </row>
    <row r="677" spans="1:13" x14ac:dyDescent="0.2">
      <c r="A677" t="s">
        <v>857</v>
      </c>
      <c r="B677" t="s">
        <v>14</v>
      </c>
      <c r="C677">
        <v>9328808004084</v>
      </c>
      <c r="D677" t="s">
        <v>149</v>
      </c>
      <c r="E677">
        <v>1</v>
      </c>
      <c r="F677" s="1">
        <v>5.68</v>
      </c>
      <c r="G677">
        <v>0</v>
      </c>
      <c r="H677" s="1">
        <v>0</v>
      </c>
      <c r="I677" s="1">
        <v>0</v>
      </c>
      <c r="J677" s="1">
        <v>5.68</v>
      </c>
      <c r="K677" s="1">
        <v>0.56999999999999995</v>
      </c>
      <c r="L677" s="1">
        <v>6.25</v>
      </c>
      <c r="M677">
        <v>1</v>
      </c>
    </row>
    <row r="678" spans="1:13" x14ac:dyDescent="0.2">
      <c r="A678" t="s">
        <v>1153</v>
      </c>
      <c r="B678" t="s">
        <v>14</v>
      </c>
      <c r="C678">
        <v>9328808004091</v>
      </c>
      <c r="D678" t="s">
        <v>149</v>
      </c>
      <c r="E678">
        <v>2</v>
      </c>
      <c r="F678" s="1">
        <v>29.42</v>
      </c>
      <c r="G678">
        <v>0</v>
      </c>
      <c r="H678" s="1">
        <v>0</v>
      </c>
      <c r="I678" s="1">
        <v>0</v>
      </c>
      <c r="J678" s="1">
        <v>29.42</v>
      </c>
      <c r="K678" s="1">
        <v>2.98</v>
      </c>
      <c r="L678" s="1">
        <v>32.4</v>
      </c>
      <c r="M678">
        <v>2</v>
      </c>
    </row>
    <row r="679" spans="1:13" x14ac:dyDescent="0.2">
      <c r="A679" t="s">
        <v>858</v>
      </c>
      <c r="B679" t="s">
        <v>14</v>
      </c>
      <c r="C679">
        <v>9328808004275</v>
      </c>
      <c r="D679" t="s">
        <v>149</v>
      </c>
      <c r="E679">
        <v>2</v>
      </c>
      <c r="F679" s="1">
        <v>11.36</v>
      </c>
      <c r="G679">
        <v>0</v>
      </c>
      <c r="H679" s="1">
        <v>0</v>
      </c>
      <c r="I679" s="1">
        <v>0</v>
      </c>
      <c r="J679" s="1">
        <v>11.36</v>
      </c>
      <c r="K679" s="1">
        <v>1.1399999999999999</v>
      </c>
      <c r="L679" s="1">
        <v>12.5</v>
      </c>
      <c r="M679">
        <v>2</v>
      </c>
    </row>
    <row r="680" spans="1:13" x14ac:dyDescent="0.2">
      <c r="A680" t="s">
        <v>859</v>
      </c>
      <c r="B680" t="s">
        <v>14</v>
      </c>
      <c r="C680">
        <v>9328808004053</v>
      </c>
      <c r="D680" t="s">
        <v>149</v>
      </c>
      <c r="E680">
        <v>1</v>
      </c>
      <c r="F680" s="1">
        <v>5.67</v>
      </c>
      <c r="G680">
        <v>0</v>
      </c>
      <c r="H680" s="1">
        <v>0</v>
      </c>
      <c r="I680" s="1">
        <v>0</v>
      </c>
      <c r="J680" s="1">
        <v>5.67</v>
      </c>
      <c r="K680" s="1">
        <v>0.57999999999999996</v>
      </c>
      <c r="L680" s="1">
        <v>6.25</v>
      </c>
      <c r="M680">
        <v>1</v>
      </c>
    </row>
    <row r="681" spans="1:13" x14ac:dyDescent="0.2">
      <c r="A681" t="s">
        <v>320</v>
      </c>
      <c r="B681" t="s">
        <v>14</v>
      </c>
      <c r="C681">
        <v>9421037690162</v>
      </c>
      <c r="D681" t="s">
        <v>149</v>
      </c>
      <c r="E681">
        <v>1</v>
      </c>
      <c r="F681" s="1">
        <v>5.33</v>
      </c>
      <c r="G681">
        <v>0</v>
      </c>
      <c r="H681" s="1">
        <v>0</v>
      </c>
      <c r="I681" s="1">
        <v>-1.1499999999999999</v>
      </c>
      <c r="J681" s="1">
        <v>4.18</v>
      </c>
      <c r="K681" s="1">
        <v>0.42</v>
      </c>
      <c r="L681" s="1">
        <v>4.5999999999999996</v>
      </c>
      <c r="M681">
        <v>1</v>
      </c>
    </row>
    <row r="682" spans="1:13" x14ac:dyDescent="0.2">
      <c r="A682" t="s">
        <v>429</v>
      </c>
      <c r="B682" t="s">
        <v>14</v>
      </c>
      <c r="C682">
        <v>9421037690186</v>
      </c>
      <c r="D682" t="s">
        <v>149</v>
      </c>
      <c r="E682">
        <v>4</v>
      </c>
      <c r="F682" s="1">
        <v>23.6</v>
      </c>
      <c r="G682">
        <v>0</v>
      </c>
      <c r="H682" s="1">
        <v>0</v>
      </c>
      <c r="I682" s="1">
        <v>0</v>
      </c>
      <c r="J682" s="1">
        <v>23.6</v>
      </c>
      <c r="K682" s="1">
        <v>2.4</v>
      </c>
      <c r="L682" s="1">
        <v>26</v>
      </c>
      <c r="M682">
        <v>4</v>
      </c>
    </row>
    <row r="683" spans="1:13" x14ac:dyDescent="0.2">
      <c r="A683" t="s">
        <v>860</v>
      </c>
      <c r="B683" t="s">
        <v>14</v>
      </c>
      <c r="C683">
        <v>769807749122</v>
      </c>
      <c r="D683" t="s">
        <v>149</v>
      </c>
      <c r="E683">
        <v>1</v>
      </c>
      <c r="F683" s="1">
        <v>7.22</v>
      </c>
      <c r="G683">
        <v>0</v>
      </c>
      <c r="H683" s="1">
        <v>0</v>
      </c>
      <c r="I683" s="1">
        <v>0</v>
      </c>
      <c r="J683" s="1">
        <v>7.22</v>
      </c>
      <c r="K683" s="1">
        <v>0.73</v>
      </c>
      <c r="L683" s="1">
        <v>7.95</v>
      </c>
      <c r="M683">
        <v>1</v>
      </c>
    </row>
    <row r="684" spans="1:13" x14ac:dyDescent="0.2">
      <c r="A684" t="s">
        <v>570</v>
      </c>
      <c r="B684" t="s">
        <v>14</v>
      </c>
      <c r="C684">
        <v>787099254858</v>
      </c>
      <c r="D684" t="s">
        <v>149</v>
      </c>
      <c r="E684">
        <v>1</v>
      </c>
      <c r="F684" s="1">
        <v>7.22</v>
      </c>
      <c r="G684">
        <v>0</v>
      </c>
      <c r="H684" s="1">
        <v>0</v>
      </c>
      <c r="I684" s="1">
        <v>0</v>
      </c>
      <c r="J684" s="1">
        <v>7.22</v>
      </c>
      <c r="K684" s="1">
        <v>0.73</v>
      </c>
      <c r="L684" s="1">
        <v>7.95</v>
      </c>
      <c r="M684">
        <v>1</v>
      </c>
    </row>
    <row r="685" spans="1:13" x14ac:dyDescent="0.2">
      <c r="A685" t="s">
        <v>689</v>
      </c>
      <c r="B685" t="s">
        <v>14</v>
      </c>
      <c r="C685">
        <v>787099254933</v>
      </c>
      <c r="D685" t="s">
        <v>149</v>
      </c>
      <c r="E685">
        <v>2</v>
      </c>
      <c r="F685" s="1">
        <v>14.44</v>
      </c>
      <c r="G685">
        <v>0</v>
      </c>
      <c r="H685" s="1">
        <v>0</v>
      </c>
      <c r="I685" s="1">
        <v>0</v>
      </c>
      <c r="J685" s="1">
        <v>14.44</v>
      </c>
      <c r="K685" s="1">
        <v>1.46</v>
      </c>
      <c r="L685" s="1">
        <v>15.9</v>
      </c>
      <c r="M685">
        <v>2</v>
      </c>
    </row>
    <row r="686" spans="1:13" x14ac:dyDescent="0.2">
      <c r="A686" t="s">
        <v>690</v>
      </c>
      <c r="B686" t="s">
        <v>14</v>
      </c>
      <c r="C686">
        <v>787099254926</v>
      </c>
      <c r="D686" t="s">
        <v>149</v>
      </c>
      <c r="E686">
        <v>6</v>
      </c>
      <c r="F686" s="1">
        <v>43.39</v>
      </c>
      <c r="G686">
        <v>0</v>
      </c>
      <c r="H686" s="1">
        <v>0</v>
      </c>
      <c r="I686" s="1">
        <v>-0.75</v>
      </c>
      <c r="J686" s="1">
        <v>42.64</v>
      </c>
      <c r="K686" s="1">
        <v>4.3099999999999996</v>
      </c>
      <c r="L686" s="1">
        <v>46.95</v>
      </c>
      <c r="M686">
        <v>6</v>
      </c>
    </row>
    <row r="687" spans="1:13" x14ac:dyDescent="0.2">
      <c r="A687" t="s">
        <v>1154</v>
      </c>
      <c r="B687" t="s">
        <v>14</v>
      </c>
      <c r="C687">
        <v>632556826188</v>
      </c>
      <c r="D687" t="s">
        <v>149</v>
      </c>
      <c r="E687">
        <v>5</v>
      </c>
      <c r="F687" s="1">
        <v>88.3</v>
      </c>
      <c r="G687">
        <v>0</v>
      </c>
      <c r="H687" s="1">
        <v>0</v>
      </c>
      <c r="I687" s="1">
        <v>0</v>
      </c>
      <c r="J687" s="1">
        <v>88.3</v>
      </c>
      <c r="K687" s="1">
        <v>8.9499999999999993</v>
      </c>
      <c r="L687" s="1">
        <v>97.25</v>
      </c>
      <c r="M687">
        <v>5</v>
      </c>
    </row>
    <row r="688" spans="1:13" x14ac:dyDescent="0.2">
      <c r="A688" t="s">
        <v>1155</v>
      </c>
      <c r="B688" t="s">
        <v>14</v>
      </c>
      <c r="C688">
        <v>632556826195</v>
      </c>
      <c r="D688" t="s">
        <v>149</v>
      </c>
      <c r="E688">
        <v>2</v>
      </c>
      <c r="F688" s="1">
        <v>35.32</v>
      </c>
      <c r="G688">
        <v>0</v>
      </c>
      <c r="H688" s="1">
        <v>0</v>
      </c>
      <c r="I688" s="1">
        <v>0</v>
      </c>
      <c r="J688" s="1">
        <v>35.32</v>
      </c>
      <c r="K688" s="1">
        <v>3.58</v>
      </c>
      <c r="L688" s="1">
        <v>38.9</v>
      </c>
      <c r="M688">
        <v>2</v>
      </c>
    </row>
    <row r="689" spans="1:13" x14ac:dyDescent="0.2">
      <c r="A689" t="s">
        <v>861</v>
      </c>
      <c r="B689" t="s">
        <v>14</v>
      </c>
      <c r="C689">
        <v>632556826218</v>
      </c>
      <c r="D689" t="s">
        <v>149</v>
      </c>
      <c r="E689">
        <v>1</v>
      </c>
      <c r="F689" s="1">
        <v>17.78</v>
      </c>
      <c r="G689">
        <v>0</v>
      </c>
      <c r="H689" s="1">
        <v>0</v>
      </c>
      <c r="I689" s="1">
        <v>-1.22</v>
      </c>
      <c r="J689" s="1">
        <v>16.559999999999999</v>
      </c>
      <c r="K689" s="1">
        <v>1.67</v>
      </c>
      <c r="L689" s="1">
        <v>18.23</v>
      </c>
      <c r="M689">
        <v>1</v>
      </c>
    </row>
    <row r="690" spans="1:13" x14ac:dyDescent="0.2">
      <c r="A690" t="s">
        <v>691</v>
      </c>
      <c r="B690" t="s">
        <v>14</v>
      </c>
      <c r="C690">
        <v>787099254889</v>
      </c>
      <c r="D690" t="s">
        <v>149</v>
      </c>
      <c r="E690">
        <v>1</v>
      </c>
      <c r="F690" s="1">
        <v>7.22</v>
      </c>
      <c r="G690">
        <v>0</v>
      </c>
      <c r="H690" s="1">
        <v>0</v>
      </c>
      <c r="I690" s="1">
        <v>0</v>
      </c>
      <c r="J690" s="1">
        <v>7.22</v>
      </c>
      <c r="K690" s="1">
        <v>0.73</v>
      </c>
      <c r="L690" s="1">
        <v>7.95</v>
      </c>
      <c r="M690">
        <v>1</v>
      </c>
    </row>
    <row r="691" spans="1:13" x14ac:dyDescent="0.2">
      <c r="A691" t="s">
        <v>692</v>
      </c>
      <c r="B691" t="s">
        <v>14</v>
      </c>
      <c r="C691">
        <v>787099254841</v>
      </c>
      <c r="D691" t="s">
        <v>149</v>
      </c>
      <c r="E691">
        <v>4</v>
      </c>
      <c r="F691" s="1">
        <v>28.95</v>
      </c>
      <c r="G691">
        <v>0</v>
      </c>
      <c r="H691" s="1">
        <v>0</v>
      </c>
      <c r="I691" s="1">
        <v>-0.75</v>
      </c>
      <c r="J691" s="1">
        <v>28.2</v>
      </c>
      <c r="K691" s="1">
        <v>2.85</v>
      </c>
      <c r="L691" s="1">
        <v>31.05</v>
      </c>
      <c r="M691">
        <v>4</v>
      </c>
    </row>
    <row r="692" spans="1:13" x14ac:dyDescent="0.2">
      <c r="A692" t="s">
        <v>1156</v>
      </c>
      <c r="B692" t="s">
        <v>14</v>
      </c>
      <c r="C692">
        <v>9339337305658</v>
      </c>
      <c r="D692" t="s">
        <v>152</v>
      </c>
      <c r="E692">
        <v>2</v>
      </c>
      <c r="F692" s="1">
        <v>10.7</v>
      </c>
      <c r="G692">
        <v>0</v>
      </c>
      <c r="H692" s="1">
        <v>0</v>
      </c>
      <c r="I692" s="1">
        <v>0</v>
      </c>
      <c r="J692" s="1">
        <v>10.7</v>
      </c>
      <c r="K692" s="1">
        <v>0</v>
      </c>
      <c r="L692" s="1">
        <v>10.7</v>
      </c>
      <c r="M692">
        <v>2</v>
      </c>
    </row>
    <row r="693" spans="1:13" x14ac:dyDescent="0.2">
      <c r="A693" t="s">
        <v>1157</v>
      </c>
      <c r="B693" t="s">
        <v>14</v>
      </c>
      <c r="C693">
        <v>9339337307157</v>
      </c>
      <c r="D693" t="s">
        <v>152</v>
      </c>
      <c r="E693">
        <v>2</v>
      </c>
      <c r="F693" s="1">
        <v>13.9</v>
      </c>
      <c r="G693">
        <v>0</v>
      </c>
      <c r="H693" s="1">
        <v>0</v>
      </c>
      <c r="I693" s="1">
        <v>0</v>
      </c>
      <c r="J693" s="1">
        <v>13.9</v>
      </c>
      <c r="K693" s="1">
        <v>0</v>
      </c>
      <c r="L693" s="1">
        <v>13.9</v>
      </c>
      <c r="M693">
        <v>2</v>
      </c>
    </row>
    <row r="694" spans="1:13" x14ac:dyDescent="0.2">
      <c r="A694" t="s">
        <v>1158</v>
      </c>
      <c r="B694" t="s">
        <v>14</v>
      </c>
      <c r="C694">
        <v>9312336039601</v>
      </c>
      <c r="D694" t="s">
        <v>152</v>
      </c>
      <c r="E694">
        <v>1</v>
      </c>
      <c r="F694" s="1">
        <v>8.25</v>
      </c>
      <c r="G694">
        <v>0</v>
      </c>
      <c r="H694" s="1">
        <v>0</v>
      </c>
      <c r="I694" s="1">
        <v>0</v>
      </c>
      <c r="J694" s="1">
        <v>8.25</v>
      </c>
      <c r="K694" s="1">
        <v>0</v>
      </c>
      <c r="L694" s="1">
        <v>8.25</v>
      </c>
      <c r="M694">
        <v>1</v>
      </c>
    </row>
    <row r="695" spans="1:13" x14ac:dyDescent="0.2">
      <c r="A695" t="s">
        <v>1159</v>
      </c>
      <c r="B695" t="s">
        <v>14</v>
      </c>
      <c r="C695">
        <v>9312336013076</v>
      </c>
      <c r="D695" t="s">
        <v>152</v>
      </c>
      <c r="E695">
        <v>1</v>
      </c>
      <c r="F695" s="1">
        <v>15.35</v>
      </c>
      <c r="G695">
        <v>0</v>
      </c>
      <c r="H695" s="1">
        <v>0</v>
      </c>
      <c r="I695" s="1">
        <v>0</v>
      </c>
      <c r="J695" s="1">
        <v>15.35</v>
      </c>
      <c r="K695" s="1">
        <v>0</v>
      </c>
      <c r="L695" s="1">
        <v>15.35</v>
      </c>
      <c r="M695">
        <v>1</v>
      </c>
    </row>
    <row r="696" spans="1:13" x14ac:dyDescent="0.2">
      <c r="A696" t="s">
        <v>571</v>
      </c>
      <c r="B696" t="s">
        <v>14</v>
      </c>
      <c r="C696">
        <v>9312336013373</v>
      </c>
      <c r="D696" t="s">
        <v>152</v>
      </c>
      <c r="E696">
        <v>1</v>
      </c>
      <c r="F696" s="1">
        <v>15.75</v>
      </c>
      <c r="G696">
        <v>0</v>
      </c>
      <c r="H696" s="1">
        <v>0</v>
      </c>
      <c r="I696" s="1">
        <v>0</v>
      </c>
      <c r="J696" s="1">
        <v>15.75</v>
      </c>
      <c r="K696" s="1">
        <v>0</v>
      </c>
      <c r="L696" s="1">
        <v>15.75</v>
      </c>
      <c r="M696">
        <v>1</v>
      </c>
    </row>
    <row r="697" spans="1:13" x14ac:dyDescent="0.2">
      <c r="A697" t="s">
        <v>1160</v>
      </c>
      <c r="B697" t="s">
        <v>14</v>
      </c>
      <c r="C697">
        <v>9312336142516</v>
      </c>
      <c r="D697" t="s">
        <v>152</v>
      </c>
      <c r="E697">
        <v>1</v>
      </c>
      <c r="F697" s="1">
        <v>5.2</v>
      </c>
      <c r="G697">
        <v>0</v>
      </c>
      <c r="H697" s="1">
        <v>0</v>
      </c>
      <c r="I697" s="1">
        <v>0</v>
      </c>
      <c r="J697" s="1">
        <v>5.2</v>
      </c>
      <c r="K697" s="1">
        <v>0</v>
      </c>
      <c r="L697" s="1">
        <v>5.2</v>
      </c>
      <c r="M697">
        <v>1</v>
      </c>
    </row>
    <row r="698" spans="1:13" x14ac:dyDescent="0.2">
      <c r="A698" t="s">
        <v>693</v>
      </c>
      <c r="B698" t="s">
        <v>14</v>
      </c>
      <c r="C698">
        <v>9312336037423</v>
      </c>
      <c r="D698" t="s">
        <v>152</v>
      </c>
      <c r="E698">
        <v>1</v>
      </c>
      <c r="F698" s="1">
        <v>9.9499999999999993</v>
      </c>
      <c r="G698">
        <v>0</v>
      </c>
      <c r="H698" s="1">
        <v>0</v>
      </c>
      <c r="I698" s="1">
        <v>0</v>
      </c>
      <c r="J698" s="1">
        <v>9.9499999999999993</v>
      </c>
      <c r="K698" s="1">
        <v>0</v>
      </c>
      <c r="L698" s="1">
        <v>9.9499999999999993</v>
      </c>
      <c r="M698">
        <v>1</v>
      </c>
    </row>
    <row r="699" spans="1:13" x14ac:dyDescent="0.2">
      <c r="A699" t="s">
        <v>1161</v>
      </c>
      <c r="B699" t="s">
        <v>14</v>
      </c>
      <c r="C699">
        <v>74261281065</v>
      </c>
      <c r="D699" t="s">
        <v>152</v>
      </c>
      <c r="E699">
        <v>1</v>
      </c>
      <c r="F699" s="1">
        <v>11.3</v>
      </c>
      <c r="G699">
        <v>0</v>
      </c>
      <c r="H699" s="1">
        <v>0</v>
      </c>
      <c r="I699" s="1">
        <v>0</v>
      </c>
      <c r="J699" s="1">
        <v>11.3</v>
      </c>
      <c r="K699" s="1">
        <v>0</v>
      </c>
      <c r="L699" s="1">
        <v>11.3</v>
      </c>
      <c r="M699">
        <v>1</v>
      </c>
    </row>
    <row r="700" spans="1:13" x14ac:dyDescent="0.2">
      <c r="A700" t="s">
        <v>1162</v>
      </c>
      <c r="B700" t="s">
        <v>14</v>
      </c>
      <c r="C700">
        <v>74261282109</v>
      </c>
      <c r="D700" t="s">
        <v>152</v>
      </c>
      <c r="E700">
        <v>1</v>
      </c>
      <c r="F700" s="1">
        <v>13.6</v>
      </c>
      <c r="G700">
        <v>0</v>
      </c>
      <c r="H700" s="1">
        <v>0</v>
      </c>
      <c r="I700" s="1">
        <v>0</v>
      </c>
      <c r="J700" s="1">
        <v>13.6</v>
      </c>
      <c r="K700" s="1">
        <v>0</v>
      </c>
      <c r="L700" s="1">
        <v>13.6</v>
      </c>
      <c r="M700">
        <v>1</v>
      </c>
    </row>
    <row r="701" spans="1:13" x14ac:dyDescent="0.2">
      <c r="A701" t="s">
        <v>862</v>
      </c>
      <c r="B701" t="s">
        <v>14</v>
      </c>
      <c r="C701">
        <v>9351857006402</v>
      </c>
      <c r="D701" t="s">
        <v>863</v>
      </c>
      <c r="E701">
        <v>1</v>
      </c>
      <c r="F701" s="1">
        <v>19.25</v>
      </c>
      <c r="G701">
        <v>0</v>
      </c>
      <c r="H701" s="1">
        <v>0</v>
      </c>
      <c r="I701" s="1">
        <v>-3.85</v>
      </c>
      <c r="J701" s="1">
        <v>15.4</v>
      </c>
      <c r="K701" s="1">
        <v>0</v>
      </c>
      <c r="L701" s="1">
        <v>15.4</v>
      </c>
      <c r="M701">
        <v>1</v>
      </c>
    </row>
    <row r="702" spans="1:13" x14ac:dyDescent="0.2">
      <c r="A702" t="s">
        <v>864</v>
      </c>
      <c r="B702" t="s">
        <v>14</v>
      </c>
      <c r="C702">
        <v>9369999062606</v>
      </c>
      <c r="D702" t="s">
        <v>153</v>
      </c>
      <c r="E702">
        <v>1</v>
      </c>
      <c r="F702" s="1">
        <v>25.35</v>
      </c>
      <c r="G702">
        <v>0</v>
      </c>
      <c r="H702" s="1">
        <v>0</v>
      </c>
      <c r="I702" s="1">
        <v>0</v>
      </c>
      <c r="J702" s="1">
        <v>25.35</v>
      </c>
      <c r="K702" s="1">
        <v>0</v>
      </c>
      <c r="L702" s="1">
        <v>25.35</v>
      </c>
      <c r="M702">
        <v>1</v>
      </c>
    </row>
    <row r="703" spans="1:13" x14ac:dyDescent="0.2">
      <c r="A703" t="s">
        <v>430</v>
      </c>
      <c r="B703" t="s">
        <v>14</v>
      </c>
      <c r="C703">
        <v>683405832379</v>
      </c>
      <c r="D703" t="s">
        <v>153</v>
      </c>
      <c r="E703">
        <v>1</v>
      </c>
      <c r="F703" s="1">
        <v>32.200000000000003</v>
      </c>
      <c r="G703">
        <v>0</v>
      </c>
      <c r="H703" s="1">
        <v>0</v>
      </c>
      <c r="I703" s="1">
        <v>0</v>
      </c>
      <c r="J703" s="1">
        <v>32.200000000000003</v>
      </c>
      <c r="K703" s="1">
        <v>0</v>
      </c>
      <c r="L703" s="1">
        <v>32.200000000000003</v>
      </c>
      <c r="M703">
        <v>1</v>
      </c>
    </row>
    <row r="704" spans="1:13" x14ac:dyDescent="0.2">
      <c r="A704" t="s">
        <v>1163</v>
      </c>
      <c r="B704" t="s">
        <v>14</v>
      </c>
      <c r="C704">
        <v>868034000294</v>
      </c>
      <c r="D704" t="s">
        <v>153</v>
      </c>
      <c r="E704">
        <v>3</v>
      </c>
      <c r="F704" s="1">
        <v>89.69</v>
      </c>
      <c r="G704">
        <v>0</v>
      </c>
      <c r="H704" s="1">
        <v>0</v>
      </c>
      <c r="I704" s="1">
        <v>-31.85</v>
      </c>
      <c r="J704" s="1">
        <v>57.84</v>
      </c>
      <c r="K704" s="1">
        <v>5.86</v>
      </c>
      <c r="L704" s="1">
        <v>63.7</v>
      </c>
      <c r="M704">
        <v>3</v>
      </c>
    </row>
    <row r="705" spans="1:13" x14ac:dyDescent="0.2">
      <c r="A705" t="s">
        <v>1164</v>
      </c>
      <c r="B705" t="s">
        <v>14</v>
      </c>
      <c r="C705">
        <v>9351857002510</v>
      </c>
      <c r="D705" t="s">
        <v>153</v>
      </c>
      <c r="E705">
        <v>1</v>
      </c>
      <c r="F705" s="1">
        <v>47.75</v>
      </c>
      <c r="G705">
        <v>0</v>
      </c>
      <c r="H705" s="1">
        <v>0</v>
      </c>
      <c r="I705" s="1">
        <v>-17.190000000000001</v>
      </c>
      <c r="J705" s="1">
        <v>30.56</v>
      </c>
      <c r="K705" s="1">
        <v>0</v>
      </c>
      <c r="L705" s="1">
        <v>30.56</v>
      </c>
      <c r="M705">
        <v>1</v>
      </c>
    </row>
    <row r="706" spans="1:13" x14ac:dyDescent="0.2">
      <c r="A706" t="s">
        <v>866</v>
      </c>
      <c r="B706" t="s">
        <v>14</v>
      </c>
      <c r="C706">
        <v>793573297105</v>
      </c>
      <c r="D706" t="s">
        <v>153</v>
      </c>
      <c r="E706">
        <v>1</v>
      </c>
      <c r="F706" s="1">
        <v>71.95</v>
      </c>
      <c r="G706">
        <v>0</v>
      </c>
      <c r="H706" s="1">
        <v>0</v>
      </c>
      <c r="I706" s="1">
        <v>0</v>
      </c>
      <c r="J706" s="1">
        <v>71.95</v>
      </c>
      <c r="K706" s="1">
        <v>0</v>
      </c>
      <c r="L706" s="1">
        <v>71.95</v>
      </c>
      <c r="M706">
        <v>1</v>
      </c>
    </row>
    <row r="707" spans="1:13" x14ac:dyDescent="0.2">
      <c r="A707" t="s">
        <v>867</v>
      </c>
      <c r="B707" t="s">
        <v>14</v>
      </c>
      <c r="C707" t="s">
        <v>865</v>
      </c>
      <c r="D707" t="s">
        <v>153</v>
      </c>
      <c r="E707">
        <v>2</v>
      </c>
      <c r="F707" s="1">
        <v>99.5</v>
      </c>
      <c r="G707">
        <v>0</v>
      </c>
      <c r="H707" s="1">
        <v>0</v>
      </c>
      <c r="I707" s="1">
        <v>0</v>
      </c>
      <c r="J707" s="1">
        <v>99.5</v>
      </c>
      <c r="K707" s="1">
        <v>0</v>
      </c>
      <c r="L707" s="1">
        <v>99.5</v>
      </c>
      <c r="M707">
        <v>2</v>
      </c>
    </row>
    <row r="708" spans="1:13" x14ac:dyDescent="0.2">
      <c r="A708" t="s">
        <v>1165</v>
      </c>
      <c r="B708" t="s">
        <v>14</v>
      </c>
      <c r="C708">
        <v>9341252000679</v>
      </c>
      <c r="D708" t="s">
        <v>154</v>
      </c>
      <c r="E708">
        <v>1</v>
      </c>
      <c r="F708" s="1">
        <v>18.5</v>
      </c>
      <c r="G708">
        <v>0</v>
      </c>
      <c r="H708" s="1">
        <v>0</v>
      </c>
      <c r="I708" s="1">
        <v>0</v>
      </c>
      <c r="J708" s="1">
        <v>18.5</v>
      </c>
      <c r="K708" s="1">
        <v>0</v>
      </c>
      <c r="L708" s="1">
        <v>18.5</v>
      </c>
      <c r="M708">
        <v>1</v>
      </c>
    </row>
    <row r="709" spans="1:13" x14ac:dyDescent="0.2">
      <c r="A709" t="s">
        <v>868</v>
      </c>
      <c r="B709" t="s">
        <v>14</v>
      </c>
      <c r="C709">
        <v>9341252000037</v>
      </c>
      <c r="D709" t="s">
        <v>154</v>
      </c>
      <c r="E709">
        <v>1</v>
      </c>
      <c r="F709" s="1">
        <v>18.45</v>
      </c>
      <c r="G709">
        <v>0</v>
      </c>
      <c r="H709" s="1">
        <v>0</v>
      </c>
      <c r="I709" s="1">
        <v>0</v>
      </c>
      <c r="J709" s="1">
        <v>18.45</v>
      </c>
      <c r="K709" s="1">
        <v>0</v>
      </c>
      <c r="L709" s="1">
        <v>18.45</v>
      </c>
      <c r="M709">
        <v>1</v>
      </c>
    </row>
    <row r="710" spans="1:13" x14ac:dyDescent="0.2">
      <c r="A710" t="s">
        <v>572</v>
      </c>
      <c r="B710" t="s">
        <v>14</v>
      </c>
      <c r="C710">
        <v>9358294000154</v>
      </c>
      <c r="D710" t="s">
        <v>154</v>
      </c>
      <c r="E710">
        <v>3</v>
      </c>
      <c r="F710" s="1">
        <v>18.75</v>
      </c>
      <c r="G710">
        <v>0</v>
      </c>
      <c r="H710" s="1">
        <v>0</v>
      </c>
      <c r="I710" s="1">
        <v>0</v>
      </c>
      <c r="J710" s="1">
        <v>18.75</v>
      </c>
      <c r="K710" s="1">
        <v>0</v>
      </c>
      <c r="L710" s="1">
        <v>18.75</v>
      </c>
      <c r="M710">
        <v>3</v>
      </c>
    </row>
    <row r="711" spans="1:13" x14ac:dyDescent="0.2">
      <c r="A711" t="s">
        <v>694</v>
      </c>
      <c r="B711" t="s">
        <v>14</v>
      </c>
      <c r="C711">
        <v>9341252000419</v>
      </c>
      <c r="D711" t="s">
        <v>154</v>
      </c>
      <c r="E711">
        <v>2</v>
      </c>
      <c r="F711" s="1">
        <v>37.9</v>
      </c>
      <c r="G711">
        <v>0</v>
      </c>
      <c r="H711" s="1">
        <v>0</v>
      </c>
      <c r="I711" s="1">
        <v>0</v>
      </c>
      <c r="J711" s="1">
        <v>37.9</v>
      </c>
      <c r="K711" s="1">
        <v>0</v>
      </c>
      <c r="L711" s="1">
        <v>37.9</v>
      </c>
      <c r="M711">
        <v>2</v>
      </c>
    </row>
    <row r="712" spans="1:13" x14ac:dyDescent="0.2">
      <c r="A712" t="s">
        <v>1166</v>
      </c>
      <c r="B712" t="s">
        <v>14</v>
      </c>
      <c r="C712">
        <v>9341252000433</v>
      </c>
      <c r="D712" t="s">
        <v>154</v>
      </c>
      <c r="E712">
        <v>1</v>
      </c>
      <c r="F712" s="1">
        <v>18.95</v>
      </c>
      <c r="G712">
        <v>0</v>
      </c>
      <c r="H712" s="1">
        <v>0</v>
      </c>
      <c r="I712" s="1">
        <v>0</v>
      </c>
      <c r="J712" s="1">
        <v>18.95</v>
      </c>
      <c r="K712" s="1">
        <v>0</v>
      </c>
      <c r="L712" s="1">
        <v>18.95</v>
      </c>
      <c r="M712">
        <v>1</v>
      </c>
    </row>
    <row r="713" spans="1:13" x14ac:dyDescent="0.2">
      <c r="A713" t="s">
        <v>869</v>
      </c>
      <c r="B713" t="s">
        <v>14</v>
      </c>
      <c r="C713" t="s">
        <v>870</v>
      </c>
      <c r="D713" t="s">
        <v>154</v>
      </c>
      <c r="E713">
        <v>3</v>
      </c>
      <c r="F713" s="1">
        <v>35.94</v>
      </c>
      <c r="G713">
        <v>0</v>
      </c>
      <c r="H713" s="1">
        <v>0</v>
      </c>
      <c r="I713" s="1">
        <v>0</v>
      </c>
      <c r="J713" s="1">
        <v>35.94</v>
      </c>
      <c r="K713" s="1">
        <v>0</v>
      </c>
      <c r="L713" s="1">
        <v>35.94</v>
      </c>
      <c r="M713">
        <v>3</v>
      </c>
    </row>
    <row r="714" spans="1:13" x14ac:dyDescent="0.2">
      <c r="A714" t="s">
        <v>155</v>
      </c>
      <c r="B714" t="s">
        <v>14</v>
      </c>
      <c r="C714">
        <v>285010</v>
      </c>
      <c r="D714" t="s">
        <v>154</v>
      </c>
      <c r="E714">
        <v>4</v>
      </c>
      <c r="F714" s="1">
        <v>87.48</v>
      </c>
      <c r="G714">
        <v>0</v>
      </c>
      <c r="H714" s="1">
        <v>0</v>
      </c>
      <c r="I714" s="1">
        <v>0</v>
      </c>
      <c r="J714" s="1">
        <v>87.48</v>
      </c>
      <c r="K714" s="1">
        <v>0</v>
      </c>
      <c r="L714" s="1">
        <v>87.48</v>
      </c>
      <c r="M714">
        <v>4</v>
      </c>
    </row>
    <row r="715" spans="1:13" x14ac:dyDescent="0.2">
      <c r="A715" t="s">
        <v>573</v>
      </c>
      <c r="B715" t="s">
        <v>14</v>
      </c>
      <c r="C715">
        <v>2862741017505</v>
      </c>
      <c r="D715" t="s">
        <v>154</v>
      </c>
      <c r="E715">
        <v>3</v>
      </c>
      <c r="F715" s="1">
        <v>52.5</v>
      </c>
      <c r="G715">
        <v>0</v>
      </c>
      <c r="H715" s="1">
        <v>0</v>
      </c>
      <c r="I715" s="1">
        <v>-3.53</v>
      </c>
      <c r="J715" s="1">
        <v>48.97</v>
      </c>
      <c r="K715" s="1">
        <v>0</v>
      </c>
      <c r="L715" s="1">
        <v>48.97</v>
      </c>
      <c r="M715">
        <v>3</v>
      </c>
    </row>
    <row r="716" spans="1:13" x14ac:dyDescent="0.2">
      <c r="A716" t="s">
        <v>156</v>
      </c>
      <c r="B716" t="s">
        <v>14</v>
      </c>
      <c r="C716">
        <v>28500180</v>
      </c>
      <c r="D716" t="s">
        <v>154</v>
      </c>
      <c r="E716">
        <v>9</v>
      </c>
      <c r="F716" s="1">
        <v>89.23</v>
      </c>
      <c r="G716">
        <v>0</v>
      </c>
      <c r="H716" s="1">
        <v>0</v>
      </c>
      <c r="I716" s="1">
        <v>-0.76</v>
      </c>
      <c r="J716" s="1">
        <v>88.47</v>
      </c>
      <c r="K716" s="1">
        <v>0</v>
      </c>
      <c r="L716" s="1">
        <v>88.47</v>
      </c>
      <c r="M716">
        <v>9</v>
      </c>
    </row>
    <row r="717" spans="1:13" x14ac:dyDescent="0.2">
      <c r="A717" t="s">
        <v>695</v>
      </c>
      <c r="B717" t="s">
        <v>14</v>
      </c>
      <c r="C717">
        <v>286085</v>
      </c>
      <c r="D717" t="s">
        <v>154</v>
      </c>
      <c r="E717">
        <v>1</v>
      </c>
      <c r="F717" s="1">
        <v>15.6</v>
      </c>
      <c r="G717">
        <v>0</v>
      </c>
      <c r="H717" s="1">
        <v>0</v>
      </c>
      <c r="I717" s="1">
        <v>0</v>
      </c>
      <c r="J717" s="1">
        <v>15.6</v>
      </c>
      <c r="K717" s="1">
        <v>0</v>
      </c>
      <c r="L717" s="1">
        <v>15.6</v>
      </c>
      <c r="M717">
        <v>1</v>
      </c>
    </row>
    <row r="718" spans="1:13" x14ac:dyDescent="0.2">
      <c r="A718" t="s">
        <v>157</v>
      </c>
      <c r="B718" t="s">
        <v>14</v>
      </c>
      <c r="C718">
        <v>285007</v>
      </c>
      <c r="D718" t="s">
        <v>154</v>
      </c>
      <c r="E718">
        <v>6</v>
      </c>
      <c r="F718" s="1">
        <v>78.39</v>
      </c>
      <c r="G718">
        <v>0</v>
      </c>
      <c r="H718" s="1">
        <v>0</v>
      </c>
      <c r="I718" s="1">
        <v>-6.45</v>
      </c>
      <c r="J718" s="1">
        <v>71.94</v>
      </c>
      <c r="K718" s="1">
        <v>0</v>
      </c>
      <c r="L718" s="1">
        <v>71.94</v>
      </c>
      <c r="M718">
        <v>6</v>
      </c>
    </row>
    <row r="719" spans="1:13" x14ac:dyDescent="0.2">
      <c r="A719" t="s">
        <v>1167</v>
      </c>
      <c r="B719" t="s">
        <v>14</v>
      </c>
      <c r="C719">
        <v>286282001335</v>
      </c>
      <c r="D719" t="s">
        <v>154</v>
      </c>
      <c r="E719">
        <v>2</v>
      </c>
      <c r="F719" s="1">
        <v>19.14</v>
      </c>
      <c r="G719">
        <v>0</v>
      </c>
      <c r="H719" s="1">
        <v>0</v>
      </c>
      <c r="I719" s="1">
        <v>0</v>
      </c>
      <c r="J719" s="1">
        <v>19.14</v>
      </c>
      <c r="K719" s="1">
        <v>0</v>
      </c>
      <c r="L719" s="1">
        <v>19.14</v>
      </c>
      <c r="M719">
        <v>2</v>
      </c>
    </row>
    <row r="720" spans="1:13" x14ac:dyDescent="0.2">
      <c r="A720" t="s">
        <v>158</v>
      </c>
      <c r="B720" t="s">
        <v>14</v>
      </c>
      <c r="C720">
        <v>8544419</v>
      </c>
      <c r="D720" t="s">
        <v>154</v>
      </c>
      <c r="E720">
        <v>8</v>
      </c>
      <c r="F720" s="1">
        <v>119.92</v>
      </c>
      <c r="G720">
        <v>0</v>
      </c>
      <c r="H720" s="1">
        <v>0</v>
      </c>
      <c r="I720" s="1">
        <v>-4.91</v>
      </c>
      <c r="J720" s="1">
        <v>115.01</v>
      </c>
      <c r="K720" s="1">
        <v>0</v>
      </c>
      <c r="L720" s="1">
        <v>115.01</v>
      </c>
      <c r="M720">
        <v>8</v>
      </c>
    </row>
    <row r="721" spans="1:13" x14ac:dyDescent="0.2">
      <c r="A721" t="s">
        <v>871</v>
      </c>
      <c r="B721" t="s">
        <v>14</v>
      </c>
      <c r="C721">
        <v>5805339</v>
      </c>
      <c r="D721" t="s">
        <v>154</v>
      </c>
      <c r="E721">
        <v>4</v>
      </c>
      <c r="F721" s="1">
        <v>46.68</v>
      </c>
      <c r="G721">
        <v>0</v>
      </c>
      <c r="H721" s="1">
        <v>0</v>
      </c>
      <c r="I721" s="1">
        <v>-1.18</v>
      </c>
      <c r="J721" s="1">
        <v>45.5</v>
      </c>
      <c r="K721" s="1">
        <v>0</v>
      </c>
      <c r="L721" s="1">
        <v>45.5</v>
      </c>
      <c r="M721">
        <v>4</v>
      </c>
    </row>
    <row r="722" spans="1:13" x14ac:dyDescent="0.2">
      <c r="A722" t="s">
        <v>1168</v>
      </c>
      <c r="B722" t="s">
        <v>14</v>
      </c>
      <c r="C722" t="s">
        <v>1169</v>
      </c>
      <c r="D722" t="s">
        <v>154</v>
      </c>
      <c r="E722">
        <v>2</v>
      </c>
      <c r="F722" s="1">
        <v>26.88</v>
      </c>
      <c r="G722">
        <v>0</v>
      </c>
      <c r="H722" s="1">
        <v>0</v>
      </c>
      <c r="I722" s="1">
        <v>0</v>
      </c>
      <c r="J722" s="1">
        <v>26.88</v>
      </c>
      <c r="K722" s="1">
        <v>0</v>
      </c>
      <c r="L722" s="1">
        <v>26.88</v>
      </c>
      <c r="M722">
        <v>2</v>
      </c>
    </row>
    <row r="723" spans="1:13" x14ac:dyDescent="0.2">
      <c r="A723" t="s">
        <v>431</v>
      </c>
      <c r="B723" t="s">
        <v>14</v>
      </c>
      <c r="C723" t="s">
        <v>432</v>
      </c>
      <c r="D723" t="s">
        <v>154</v>
      </c>
      <c r="E723">
        <v>2</v>
      </c>
      <c r="F723" s="1">
        <v>36.14</v>
      </c>
      <c r="G723">
        <v>0</v>
      </c>
      <c r="H723" s="1">
        <v>0</v>
      </c>
      <c r="I723" s="1">
        <v>0</v>
      </c>
      <c r="J723" s="1">
        <v>36.14</v>
      </c>
      <c r="K723" s="1">
        <v>0</v>
      </c>
      <c r="L723" s="1">
        <v>36.14</v>
      </c>
      <c r="M723">
        <v>2</v>
      </c>
    </row>
    <row r="724" spans="1:13" x14ac:dyDescent="0.2">
      <c r="A724" t="s">
        <v>1170</v>
      </c>
      <c r="B724" t="s">
        <v>14</v>
      </c>
      <c r="C724">
        <v>9356204001154</v>
      </c>
      <c r="D724" t="s">
        <v>154</v>
      </c>
      <c r="E724">
        <v>2</v>
      </c>
      <c r="F724" s="1">
        <v>19</v>
      </c>
      <c r="G724">
        <v>0</v>
      </c>
      <c r="H724" s="1">
        <v>0</v>
      </c>
      <c r="I724" s="1">
        <v>0</v>
      </c>
      <c r="J724" s="1">
        <v>19</v>
      </c>
      <c r="K724" s="1">
        <v>0</v>
      </c>
      <c r="L724" s="1">
        <v>19</v>
      </c>
      <c r="M724">
        <v>2</v>
      </c>
    </row>
    <row r="725" spans="1:13" x14ac:dyDescent="0.2">
      <c r="A725" t="s">
        <v>1171</v>
      </c>
      <c r="B725" t="s">
        <v>14</v>
      </c>
      <c r="C725">
        <v>285009</v>
      </c>
      <c r="D725" t="s">
        <v>154</v>
      </c>
      <c r="E725">
        <v>4</v>
      </c>
      <c r="F725" s="1">
        <v>77.849999999999994</v>
      </c>
      <c r="G725">
        <v>0</v>
      </c>
      <c r="H725" s="1">
        <v>0</v>
      </c>
      <c r="I725" s="1">
        <v>0</v>
      </c>
      <c r="J725" s="1">
        <v>77.849999999999994</v>
      </c>
      <c r="K725" s="1">
        <v>0</v>
      </c>
      <c r="L725" s="1">
        <v>77.849999999999994</v>
      </c>
      <c r="M725">
        <v>4</v>
      </c>
    </row>
    <row r="726" spans="1:13" x14ac:dyDescent="0.2">
      <c r="A726" t="s">
        <v>1172</v>
      </c>
      <c r="B726" t="s">
        <v>14</v>
      </c>
      <c r="C726">
        <v>9339337001383</v>
      </c>
      <c r="D726" t="s">
        <v>159</v>
      </c>
      <c r="E726">
        <v>2</v>
      </c>
      <c r="F726" s="1">
        <v>16.899999999999999</v>
      </c>
      <c r="G726">
        <v>0</v>
      </c>
      <c r="H726" s="1">
        <v>0</v>
      </c>
      <c r="I726" s="1">
        <v>0</v>
      </c>
      <c r="J726" s="1">
        <v>16.899999999999999</v>
      </c>
      <c r="K726" s="1">
        <v>0</v>
      </c>
      <c r="L726" s="1">
        <v>16.899999999999999</v>
      </c>
      <c r="M726">
        <v>2</v>
      </c>
    </row>
    <row r="727" spans="1:13" x14ac:dyDescent="0.2">
      <c r="A727" t="s">
        <v>872</v>
      </c>
      <c r="B727" t="s">
        <v>14</v>
      </c>
      <c r="C727">
        <v>9345943000016</v>
      </c>
      <c r="D727" t="s">
        <v>159</v>
      </c>
      <c r="E727">
        <v>2</v>
      </c>
      <c r="F727" s="1">
        <v>54.4</v>
      </c>
      <c r="G727">
        <v>0</v>
      </c>
      <c r="H727" s="1">
        <v>0</v>
      </c>
      <c r="I727" s="1">
        <v>0</v>
      </c>
      <c r="J727" s="1">
        <v>54.4</v>
      </c>
      <c r="K727" s="1">
        <v>0</v>
      </c>
      <c r="L727" s="1">
        <v>54.4</v>
      </c>
      <c r="M727">
        <v>2</v>
      </c>
    </row>
    <row r="728" spans="1:13" x14ac:dyDescent="0.2">
      <c r="A728" t="s">
        <v>1173</v>
      </c>
      <c r="B728" t="s">
        <v>14</v>
      </c>
      <c r="C728">
        <v>9339944006610</v>
      </c>
      <c r="D728" t="s">
        <v>159</v>
      </c>
      <c r="E728">
        <v>2</v>
      </c>
      <c r="F728" s="1">
        <v>36.799999999999997</v>
      </c>
      <c r="G728">
        <v>0</v>
      </c>
      <c r="H728" s="1">
        <v>0</v>
      </c>
      <c r="I728" s="1">
        <v>0</v>
      </c>
      <c r="J728" s="1">
        <v>36.799999999999997</v>
      </c>
      <c r="K728" s="1">
        <v>0</v>
      </c>
      <c r="L728" s="1">
        <v>36.799999999999997</v>
      </c>
      <c r="M728">
        <v>2</v>
      </c>
    </row>
    <row r="729" spans="1:13" x14ac:dyDescent="0.2">
      <c r="A729" t="s">
        <v>1174</v>
      </c>
      <c r="B729" t="s">
        <v>14</v>
      </c>
      <c r="C729">
        <v>9421906844368</v>
      </c>
      <c r="D729" t="s">
        <v>159</v>
      </c>
      <c r="E729">
        <v>1</v>
      </c>
      <c r="F729" s="1">
        <v>9.5</v>
      </c>
      <c r="G729">
        <v>0</v>
      </c>
      <c r="H729" s="1">
        <v>0</v>
      </c>
      <c r="I729" s="1">
        <v>0</v>
      </c>
      <c r="J729" s="1">
        <v>9.5</v>
      </c>
      <c r="K729" s="1">
        <v>0</v>
      </c>
      <c r="L729" s="1">
        <v>9.5</v>
      </c>
      <c r="M729">
        <v>1</v>
      </c>
    </row>
    <row r="730" spans="1:13" x14ac:dyDescent="0.2">
      <c r="A730" t="s">
        <v>1175</v>
      </c>
      <c r="B730" t="s">
        <v>14</v>
      </c>
      <c r="C730">
        <v>9327013009600</v>
      </c>
      <c r="D730" t="s">
        <v>159</v>
      </c>
      <c r="E730">
        <v>1</v>
      </c>
      <c r="F730" s="1">
        <v>27.8</v>
      </c>
      <c r="G730">
        <v>0</v>
      </c>
      <c r="H730" s="1">
        <v>0</v>
      </c>
      <c r="I730" s="1">
        <v>0</v>
      </c>
      <c r="J730" s="1">
        <v>27.8</v>
      </c>
      <c r="K730" s="1">
        <v>0</v>
      </c>
      <c r="L730" s="1">
        <v>27.8</v>
      </c>
      <c r="M730">
        <v>1</v>
      </c>
    </row>
    <row r="731" spans="1:13" x14ac:dyDescent="0.2">
      <c r="A731" t="s">
        <v>1176</v>
      </c>
      <c r="B731" t="s">
        <v>14</v>
      </c>
      <c r="C731">
        <v>9311964003251</v>
      </c>
      <c r="D731" t="s">
        <v>159</v>
      </c>
      <c r="E731">
        <v>1</v>
      </c>
      <c r="F731" s="1">
        <v>14</v>
      </c>
      <c r="G731">
        <v>0</v>
      </c>
      <c r="H731" s="1">
        <v>0</v>
      </c>
      <c r="I731" s="1">
        <v>0</v>
      </c>
      <c r="J731" s="1">
        <v>14</v>
      </c>
      <c r="K731" s="1">
        <v>0</v>
      </c>
      <c r="L731" s="1">
        <v>14</v>
      </c>
      <c r="M731">
        <v>1</v>
      </c>
    </row>
    <row r="732" spans="1:13" x14ac:dyDescent="0.2">
      <c r="A732" t="s">
        <v>1177</v>
      </c>
      <c r="B732" t="s">
        <v>14</v>
      </c>
      <c r="C732">
        <v>9312336771099</v>
      </c>
      <c r="D732" t="s">
        <v>159</v>
      </c>
      <c r="E732">
        <v>3</v>
      </c>
      <c r="F732" s="1">
        <v>33.299999999999997</v>
      </c>
      <c r="G732">
        <v>-1</v>
      </c>
      <c r="H732" s="1">
        <v>-11.1</v>
      </c>
      <c r="I732" s="1">
        <v>0</v>
      </c>
      <c r="J732" s="1">
        <v>22.2</v>
      </c>
      <c r="K732" s="1">
        <v>0</v>
      </c>
      <c r="L732" s="1">
        <v>22.2</v>
      </c>
      <c r="M732">
        <v>3</v>
      </c>
    </row>
    <row r="733" spans="1:13" x14ac:dyDescent="0.2">
      <c r="A733" t="s">
        <v>1178</v>
      </c>
      <c r="B733" t="s">
        <v>14</v>
      </c>
      <c r="C733">
        <v>9339337302695</v>
      </c>
      <c r="D733" t="s">
        <v>159</v>
      </c>
      <c r="E733">
        <v>1</v>
      </c>
      <c r="F733" s="1">
        <v>102</v>
      </c>
      <c r="G733">
        <v>0</v>
      </c>
      <c r="H733" s="1">
        <v>0</v>
      </c>
      <c r="I733" s="1">
        <v>-15.3</v>
      </c>
      <c r="J733" s="1">
        <v>86.7</v>
      </c>
      <c r="K733" s="1">
        <v>0</v>
      </c>
      <c r="L733" s="1">
        <v>86.7</v>
      </c>
      <c r="M733">
        <v>1</v>
      </c>
    </row>
    <row r="734" spans="1:13" x14ac:dyDescent="0.2">
      <c r="A734" t="s">
        <v>1179</v>
      </c>
      <c r="B734" t="s">
        <v>14</v>
      </c>
      <c r="C734">
        <v>9369999929367</v>
      </c>
      <c r="D734" t="s">
        <v>159</v>
      </c>
      <c r="E734">
        <v>3</v>
      </c>
      <c r="F734" s="1">
        <v>40.049999999999997</v>
      </c>
      <c r="G734">
        <v>0</v>
      </c>
      <c r="H734" s="1">
        <v>0</v>
      </c>
      <c r="I734" s="1">
        <v>0</v>
      </c>
      <c r="J734" s="1">
        <v>40.049999999999997</v>
      </c>
      <c r="K734" s="1">
        <v>0</v>
      </c>
      <c r="L734" s="1">
        <v>40.049999999999997</v>
      </c>
      <c r="M734">
        <v>3</v>
      </c>
    </row>
    <row r="735" spans="1:13" x14ac:dyDescent="0.2">
      <c r="A735" t="s">
        <v>488</v>
      </c>
      <c r="B735" t="s">
        <v>14</v>
      </c>
      <c r="D735" t="s">
        <v>160</v>
      </c>
      <c r="E735">
        <v>42</v>
      </c>
      <c r="F735" s="1">
        <v>18.95</v>
      </c>
      <c r="G735">
        <v>0</v>
      </c>
      <c r="H735" s="1">
        <v>0</v>
      </c>
      <c r="I735" s="1">
        <v>-0.2</v>
      </c>
      <c r="J735" s="1">
        <v>18.75</v>
      </c>
      <c r="K735" s="1">
        <v>2.0499999999999998</v>
      </c>
      <c r="L735" s="1">
        <v>20.8</v>
      </c>
      <c r="M735">
        <v>42</v>
      </c>
    </row>
    <row r="736" spans="1:13" x14ac:dyDescent="0.2">
      <c r="A736" t="s">
        <v>873</v>
      </c>
      <c r="B736" t="s">
        <v>14</v>
      </c>
      <c r="C736">
        <v>9415748019305</v>
      </c>
      <c r="D736" t="s">
        <v>161</v>
      </c>
      <c r="E736">
        <v>1</v>
      </c>
      <c r="F736" s="1">
        <v>10.7</v>
      </c>
      <c r="G736">
        <v>0</v>
      </c>
      <c r="H736" s="1">
        <v>0</v>
      </c>
      <c r="I736" s="1">
        <v>0</v>
      </c>
      <c r="J736" s="1">
        <v>10.7</v>
      </c>
      <c r="K736" s="1">
        <v>0</v>
      </c>
      <c r="L736" s="1">
        <v>10.7</v>
      </c>
      <c r="M736">
        <v>1</v>
      </c>
    </row>
    <row r="737" spans="1:13" x14ac:dyDescent="0.2">
      <c r="A737" t="s">
        <v>696</v>
      </c>
      <c r="B737" t="s">
        <v>14</v>
      </c>
      <c r="C737">
        <v>9339944007624</v>
      </c>
      <c r="D737" t="s">
        <v>161</v>
      </c>
      <c r="E737">
        <v>4</v>
      </c>
      <c r="F737" s="1">
        <v>11.6</v>
      </c>
      <c r="G737">
        <v>0</v>
      </c>
      <c r="H737" s="1">
        <v>0</v>
      </c>
      <c r="I737" s="1">
        <v>0</v>
      </c>
      <c r="J737" s="1">
        <v>11.6</v>
      </c>
      <c r="K737" s="1">
        <v>0</v>
      </c>
      <c r="L737" s="1">
        <v>11.6</v>
      </c>
      <c r="M737">
        <v>4</v>
      </c>
    </row>
    <row r="738" spans="1:13" x14ac:dyDescent="0.2">
      <c r="A738" t="s">
        <v>1180</v>
      </c>
      <c r="B738" t="s">
        <v>14</v>
      </c>
      <c r="C738">
        <v>9339944007686</v>
      </c>
      <c r="D738" t="s">
        <v>161</v>
      </c>
      <c r="E738">
        <v>3</v>
      </c>
      <c r="F738" s="1">
        <v>15.3</v>
      </c>
      <c r="G738">
        <v>0</v>
      </c>
      <c r="H738" s="1">
        <v>0</v>
      </c>
      <c r="I738" s="1">
        <v>0</v>
      </c>
      <c r="J738" s="1">
        <v>15.3</v>
      </c>
      <c r="K738" s="1">
        <v>0</v>
      </c>
      <c r="L738" s="1">
        <v>15.3</v>
      </c>
      <c r="M738">
        <v>3</v>
      </c>
    </row>
    <row r="739" spans="1:13" x14ac:dyDescent="0.2">
      <c r="A739" t="s">
        <v>1181</v>
      </c>
      <c r="B739" t="s">
        <v>14</v>
      </c>
      <c r="C739">
        <v>9339944007693</v>
      </c>
      <c r="D739" t="s">
        <v>161</v>
      </c>
      <c r="E739">
        <v>1</v>
      </c>
      <c r="F739" s="1">
        <v>5.6</v>
      </c>
      <c r="G739">
        <v>0</v>
      </c>
      <c r="H739" s="1">
        <v>0</v>
      </c>
      <c r="I739" s="1">
        <v>0</v>
      </c>
      <c r="J739" s="1">
        <v>5.6</v>
      </c>
      <c r="K739" s="1">
        <v>0</v>
      </c>
      <c r="L739" s="1">
        <v>5.6</v>
      </c>
      <c r="M739">
        <v>1</v>
      </c>
    </row>
    <row r="740" spans="1:13" x14ac:dyDescent="0.2">
      <c r="A740" t="s">
        <v>874</v>
      </c>
      <c r="B740" t="s">
        <v>14</v>
      </c>
      <c r="C740">
        <v>9312336790007</v>
      </c>
      <c r="D740" t="s">
        <v>161</v>
      </c>
      <c r="E740">
        <v>2</v>
      </c>
      <c r="F740" s="1">
        <v>12.4</v>
      </c>
      <c r="G740">
        <v>0</v>
      </c>
      <c r="H740" s="1">
        <v>0</v>
      </c>
      <c r="I740" s="1">
        <v>-0.46</v>
      </c>
      <c r="J740" s="1">
        <v>11.94</v>
      </c>
      <c r="K740" s="1">
        <v>0</v>
      </c>
      <c r="L740" s="1">
        <v>11.94</v>
      </c>
      <c r="M740">
        <v>2</v>
      </c>
    </row>
    <row r="741" spans="1:13" x14ac:dyDescent="0.2">
      <c r="A741" t="s">
        <v>1182</v>
      </c>
      <c r="B741" t="s">
        <v>14</v>
      </c>
      <c r="C741">
        <v>9312336790038</v>
      </c>
      <c r="D741" t="s">
        <v>161</v>
      </c>
      <c r="E741">
        <v>1</v>
      </c>
      <c r="F741" s="1">
        <v>6.2</v>
      </c>
      <c r="G741">
        <v>0</v>
      </c>
      <c r="H741" s="1">
        <v>0</v>
      </c>
      <c r="I741" s="1">
        <v>0</v>
      </c>
      <c r="J741" s="1">
        <v>6.2</v>
      </c>
      <c r="K741" s="1">
        <v>0</v>
      </c>
      <c r="L741" s="1">
        <v>6.2</v>
      </c>
      <c r="M741">
        <v>1</v>
      </c>
    </row>
    <row r="742" spans="1:13" x14ac:dyDescent="0.2">
      <c r="A742" t="s">
        <v>1183</v>
      </c>
      <c r="B742" t="s">
        <v>14</v>
      </c>
      <c r="C742">
        <v>9312336760024</v>
      </c>
      <c r="D742" t="s">
        <v>161</v>
      </c>
      <c r="E742">
        <v>1</v>
      </c>
      <c r="F742" s="1">
        <v>13.6</v>
      </c>
      <c r="G742">
        <v>0</v>
      </c>
      <c r="H742" s="1">
        <v>0</v>
      </c>
      <c r="I742" s="1">
        <v>0</v>
      </c>
      <c r="J742" s="1">
        <v>13.6</v>
      </c>
      <c r="K742" s="1">
        <v>0</v>
      </c>
      <c r="L742" s="1">
        <v>13.6</v>
      </c>
      <c r="M742">
        <v>1</v>
      </c>
    </row>
    <row r="743" spans="1:13" x14ac:dyDescent="0.2">
      <c r="A743" t="s">
        <v>1184</v>
      </c>
      <c r="B743" t="s">
        <v>14</v>
      </c>
      <c r="C743">
        <v>4018722302599</v>
      </c>
      <c r="D743" t="s">
        <v>162</v>
      </c>
      <c r="E743">
        <v>1</v>
      </c>
      <c r="F743" s="1">
        <v>6.95</v>
      </c>
      <c r="G743">
        <v>0</v>
      </c>
      <c r="H743" s="1">
        <v>0</v>
      </c>
      <c r="I743" s="1">
        <v>0</v>
      </c>
      <c r="J743" s="1">
        <v>6.95</v>
      </c>
      <c r="K743" s="1">
        <v>0</v>
      </c>
      <c r="L743" s="1">
        <v>6.95</v>
      </c>
      <c r="M743">
        <v>1</v>
      </c>
    </row>
    <row r="744" spans="1:13" x14ac:dyDescent="0.2">
      <c r="A744" t="s">
        <v>1185</v>
      </c>
      <c r="B744" t="s">
        <v>14</v>
      </c>
      <c r="C744">
        <v>4018722302575</v>
      </c>
      <c r="D744" t="s">
        <v>162</v>
      </c>
      <c r="E744">
        <v>1</v>
      </c>
      <c r="F744" s="1">
        <v>6.95</v>
      </c>
      <c r="G744">
        <v>0</v>
      </c>
      <c r="H744" s="1">
        <v>0</v>
      </c>
      <c r="I744" s="1">
        <v>0</v>
      </c>
      <c r="J744" s="1">
        <v>6.95</v>
      </c>
      <c r="K744" s="1">
        <v>0</v>
      </c>
      <c r="L744" s="1">
        <v>6.95</v>
      </c>
      <c r="M744">
        <v>1</v>
      </c>
    </row>
    <row r="745" spans="1:13" x14ac:dyDescent="0.2">
      <c r="A745" t="s">
        <v>1186</v>
      </c>
      <c r="B745" t="s">
        <v>14</v>
      </c>
      <c r="C745">
        <v>9313161006295</v>
      </c>
      <c r="D745" t="s">
        <v>162</v>
      </c>
      <c r="E745">
        <v>1</v>
      </c>
      <c r="F745" s="1">
        <v>9.4499999999999993</v>
      </c>
      <c r="G745">
        <v>0</v>
      </c>
      <c r="H745" s="1">
        <v>0</v>
      </c>
      <c r="I745" s="1">
        <v>0</v>
      </c>
      <c r="J745" s="1">
        <v>9.4499999999999993</v>
      </c>
      <c r="K745" s="1">
        <v>0</v>
      </c>
      <c r="L745" s="1">
        <v>9.4499999999999993</v>
      </c>
      <c r="M745">
        <v>1</v>
      </c>
    </row>
    <row r="746" spans="1:13" x14ac:dyDescent="0.2">
      <c r="A746" t="s">
        <v>875</v>
      </c>
      <c r="B746" t="s">
        <v>14</v>
      </c>
      <c r="C746">
        <v>9313161006301</v>
      </c>
      <c r="D746" t="s">
        <v>162</v>
      </c>
      <c r="E746">
        <v>1</v>
      </c>
      <c r="F746" s="1">
        <v>9.4499999999999993</v>
      </c>
      <c r="G746">
        <v>0</v>
      </c>
      <c r="H746" s="1">
        <v>0</v>
      </c>
      <c r="I746" s="1">
        <v>0</v>
      </c>
      <c r="J746" s="1">
        <v>9.4499999999999993</v>
      </c>
      <c r="K746" s="1">
        <v>0</v>
      </c>
      <c r="L746" s="1">
        <v>9.4499999999999993</v>
      </c>
      <c r="M746">
        <v>1</v>
      </c>
    </row>
    <row r="747" spans="1:13" x14ac:dyDescent="0.2">
      <c r="A747" t="s">
        <v>697</v>
      </c>
      <c r="B747" t="s">
        <v>14</v>
      </c>
      <c r="C747">
        <v>9313161006523</v>
      </c>
      <c r="D747" t="s">
        <v>162</v>
      </c>
      <c r="E747">
        <v>1</v>
      </c>
      <c r="F747" s="1">
        <v>8.25</v>
      </c>
      <c r="G747">
        <v>0</v>
      </c>
      <c r="H747" s="1">
        <v>0</v>
      </c>
      <c r="I747" s="1">
        <v>0</v>
      </c>
      <c r="J747" s="1">
        <v>8.25</v>
      </c>
      <c r="K747" s="1">
        <v>0</v>
      </c>
      <c r="L747" s="1">
        <v>8.25</v>
      </c>
      <c r="M747">
        <v>1</v>
      </c>
    </row>
    <row r="748" spans="1:13" x14ac:dyDescent="0.2">
      <c r="A748" t="s">
        <v>1187</v>
      </c>
      <c r="B748" t="s">
        <v>14</v>
      </c>
      <c r="C748">
        <v>9319934510006</v>
      </c>
      <c r="D748" t="s">
        <v>162</v>
      </c>
      <c r="E748">
        <v>2</v>
      </c>
      <c r="F748" s="1">
        <v>7.4</v>
      </c>
      <c r="G748">
        <v>0</v>
      </c>
      <c r="H748" s="1">
        <v>0</v>
      </c>
      <c r="I748" s="1">
        <v>-0.8</v>
      </c>
      <c r="J748" s="1">
        <v>6.6</v>
      </c>
      <c r="K748" s="1">
        <v>0</v>
      </c>
      <c r="L748" s="1">
        <v>6.6</v>
      </c>
      <c r="M748">
        <v>2</v>
      </c>
    </row>
    <row r="749" spans="1:13" x14ac:dyDescent="0.2">
      <c r="A749" t="s">
        <v>876</v>
      </c>
      <c r="B749" t="s">
        <v>14</v>
      </c>
      <c r="C749">
        <v>9319934560001</v>
      </c>
      <c r="D749" t="s">
        <v>162</v>
      </c>
      <c r="E749">
        <v>1</v>
      </c>
      <c r="F749" s="1">
        <v>4.95</v>
      </c>
      <c r="G749">
        <v>0</v>
      </c>
      <c r="H749" s="1">
        <v>0</v>
      </c>
      <c r="I749" s="1">
        <v>0</v>
      </c>
      <c r="J749" s="1">
        <v>4.95</v>
      </c>
      <c r="K749" s="1">
        <v>0</v>
      </c>
      <c r="L749" s="1">
        <v>4.95</v>
      </c>
      <c r="M749">
        <v>1</v>
      </c>
    </row>
    <row r="750" spans="1:13" x14ac:dyDescent="0.2">
      <c r="A750" t="s">
        <v>1188</v>
      </c>
      <c r="B750" t="s">
        <v>14</v>
      </c>
      <c r="C750">
        <v>9319934580009</v>
      </c>
      <c r="D750" t="s">
        <v>162</v>
      </c>
      <c r="E750">
        <v>1</v>
      </c>
      <c r="F750" s="1">
        <v>4.95</v>
      </c>
      <c r="G750">
        <v>0</v>
      </c>
      <c r="H750" s="1">
        <v>0</v>
      </c>
      <c r="I750" s="1">
        <v>0</v>
      </c>
      <c r="J750" s="1">
        <v>4.95</v>
      </c>
      <c r="K750" s="1">
        <v>0</v>
      </c>
      <c r="L750" s="1">
        <v>4.95</v>
      </c>
      <c r="M750">
        <v>1</v>
      </c>
    </row>
    <row r="751" spans="1:13" x14ac:dyDescent="0.2">
      <c r="A751" t="s">
        <v>1189</v>
      </c>
      <c r="B751" t="s">
        <v>14</v>
      </c>
      <c r="C751">
        <v>9415748007869</v>
      </c>
      <c r="D751" t="s">
        <v>162</v>
      </c>
      <c r="E751">
        <v>3</v>
      </c>
      <c r="F751" s="1">
        <v>22.2</v>
      </c>
      <c r="G751">
        <v>0</v>
      </c>
      <c r="H751" s="1">
        <v>0</v>
      </c>
      <c r="I751" s="1">
        <v>-0.18</v>
      </c>
      <c r="J751" s="1">
        <v>22.02</v>
      </c>
      <c r="K751" s="1">
        <v>0</v>
      </c>
      <c r="L751" s="1">
        <v>22.02</v>
      </c>
      <c r="M751">
        <v>3</v>
      </c>
    </row>
    <row r="752" spans="1:13" x14ac:dyDescent="0.2">
      <c r="A752" t="s">
        <v>1190</v>
      </c>
      <c r="B752" t="s">
        <v>14</v>
      </c>
      <c r="C752">
        <v>9415748014119</v>
      </c>
      <c r="D752" t="s">
        <v>162</v>
      </c>
      <c r="E752">
        <v>2</v>
      </c>
      <c r="F752" s="1">
        <v>14</v>
      </c>
      <c r="G752">
        <v>0</v>
      </c>
      <c r="H752" s="1">
        <v>0</v>
      </c>
      <c r="I752" s="1">
        <v>0</v>
      </c>
      <c r="J752" s="1">
        <v>14</v>
      </c>
      <c r="K752" s="1">
        <v>0</v>
      </c>
      <c r="L752" s="1">
        <v>14</v>
      </c>
      <c r="M752">
        <v>2</v>
      </c>
    </row>
    <row r="753" spans="1:13" x14ac:dyDescent="0.2">
      <c r="A753" t="s">
        <v>877</v>
      </c>
      <c r="B753" t="s">
        <v>14</v>
      </c>
      <c r="C753">
        <v>9415748014126</v>
      </c>
      <c r="D753" t="s">
        <v>162</v>
      </c>
      <c r="E753">
        <v>1</v>
      </c>
      <c r="F753" s="1">
        <v>7.5</v>
      </c>
      <c r="G753">
        <v>0</v>
      </c>
      <c r="H753" s="1">
        <v>0</v>
      </c>
      <c r="I753" s="1">
        <v>0</v>
      </c>
      <c r="J753" s="1">
        <v>7.5</v>
      </c>
      <c r="K753" s="1">
        <v>0</v>
      </c>
      <c r="L753" s="1">
        <v>7.5</v>
      </c>
      <c r="M753">
        <v>1</v>
      </c>
    </row>
    <row r="754" spans="1:13" x14ac:dyDescent="0.2">
      <c r="A754" t="s">
        <v>878</v>
      </c>
      <c r="B754" t="s">
        <v>14</v>
      </c>
      <c r="C754">
        <v>9339944019870</v>
      </c>
      <c r="D754" t="s">
        <v>162</v>
      </c>
      <c r="E754">
        <v>2</v>
      </c>
      <c r="F754" s="1">
        <v>11.7</v>
      </c>
      <c r="G754">
        <v>0</v>
      </c>
      <c r="H754" s="1">
        <v>0</v>
      </c>
      <c r="I754" s="1">
        <v>-5.85</v>
      </c>
      <c r="J754" s="1">
        <v>5.85</v>
      </c>
      <c r="K754" s="1">
        <v>0</v>
      </c>
      <c r="L754" s="1">
        <v>5.85</v>
      </c>
      <c r="M754">
        <v>2</v>
      </c>
    </row>
    <row r="755" spans="1:13" x14ac:dyDescent="0.2">
      <c r="A755" t="s">
        <v>1191</v>
      </c>
      <c r="B755" t="s">
        <v>14</v>
      </c>
      <c r="C755">
        <v>619286608000</v>
      </c>
      <c r="D755" t="s">
        <v>162</v>
      </c>
      <c r="E755">
        <v>2</v>
      </c>
      <c r="F755" s="1">
        <v>19</v>
      </c>
      <c r="G755">
        <v>0</v>
      </c>
      <c r="H755" s="1">
        <v>0</v>
      </c>
      <c r="I755" s="1">
        <v>0</v>
      </c>
      <c r="J755" s="1">
        <v>19</v>
      </c>
      <c r="K755" s="1">
        <v>0</v>
      </c>
      <c r="L755" s="1">
        <v>19</v>
      </c>
      <c r="M755">
        <v>2</v>
      </c>
    </row>
    <row r="756" spans="1:13" x14ac:dyDescent="0.2">
      <c r="A756" t="s">
        <v>879</v>
      </c>
      <c r="B756" t="s">
        <v>14</v>
      </c>
      <c r="C756">
        <v>619286609076</v>
      </c>
      <c r="D756" t="s">
        <v>162</v>
      </c>
      <c r="E756">
        <v>1</v>
      </c>
      <c r="F756" s="1">
        <v>10.6</v>
      </c>
      <c r="G756">
        <v>0</v>
      </c>
      <c r="H756" s="1">
        <v>0</v>
      </c>
      <c r="I756" s="1">
        <v>0</v>
      </c>
      <c r="J756" s="1">
        <v>10.6</v>
      </c>
      <c r="K756" s="1">
        <v>0</v>
      </c>
      <c r="L756" s="1">
        <v>10.6</v>
      </c>
      <c r="M756">
        <v>1</v>
      </c>
    </row>
    <row r="757" spans="1:13" x14ac:dyDescent="0.2">
      <c r="A757" t="s">
        <v>880</v>
      </c>
      <c r="B757" t="s">
        <v>14</v>
      </c>
      <c r="C757">
        <v>9342453000079</v>
      </c>
      <c r="D757" t="s">
        <v>162</v>
      </c>
      <c r="E757">
        <v>2</v>
      </c>
      <c r="F757" s="1">
        <v>21.1</v>
      </c>
      <c r="G757">
        <v>0</v>
      </c>
      <c r="H757" s="1">
        <v>0</v>
      </c>
      <c r="I757" s="1">
        <v>0</v>
      </c>
      <c r="J757" s="1">
        <v>21.1</v>
      </c>
      <c r="K757" s="1">
        <v>0</v>
      </c>
      <c r="L757" s="1">
        <v>21.1</v>
      </c>
      <c r="M757">
        <v>2</v>
      </c>
    </row>
    <row r="758" spans="1:13" x14ac:dyDescent="0.2">
      <c r="A758" t="s">
        <v>1192</v>
      </c>
      <c r="B758" t="s">
        <v>14</v>
      </c>
      <c r="C758">
        <v>9342453000208</v>
      </c>
      <c r="D758" t="s">
        <v>162</v>
      </c>
      <c r="E758">
        <v>2</v>
      </c>
      <c r="F758" s="1">
        <v>21.2</v>
      </c>
      <c r="G758">
        <v>0</v>
      </c>
      <c r="H758" s="1">
        <v>0</v>
      </c>
      <c r="I758" s="1">
        <v>0</v>
      </c>
      <c r="J758" s="1">
        <v>21.2</v>
      </c>
      <c r="K758" s="1">
        <v>0</v>
      </c>
      <c r="L758" s="1">
        <v>21.2</v>
      </c>
      <c r="M758">
        <v>2</v>
      </c>
    </row>
    <row r="759" spans="1:13" x14ac:dyDescent="0.2">
      <c r="A759" t="s">
        <v>1193</v>
      </c>
      <c r="B759" t="s">
        <v>14</v>
      </c>
      <c r="C759">
        <v>9336595009021</v>
      </c>
      <c r="D759" t="s">
        <v>162</v>
      </c>
      <c r="E759">
        <v>1</v>
      </c>
      <c r="F759" s="1">
        <v>9</v>
      </c>
      <c r="G759">
        <v>0</v>
      </c>
      <c r="H759" s="1">
        <v>0</v>
      </c>
      <c r="I759" s="1">
        <v>0</v>
      </c>
      <c r="J759" s="1">
        <v>9</v>
      </c>
      <c r="K759" s="1">
        <v>0</v>
      </c>
      <c r="L759" s="1">
        <v>9</v>
      </c>
      <c r="M759">
        <v>1</v>
      </c>
    </row>
    <row r="760" spans="1:13" x14ac:dyDescent="0.2">
      <c r="A760" t="s">
        <v>881</v>
      </c>
      <c r="B760" t="s">
        <v>14</v>
      </c>
      <c r="C760">
        <v>9336595000608</v>
      </c>
      <c r="D760" t="s">
        <v>162</v>
      </c>
      <c r="E760">
        <v>1</v>
      </c>
      <c r="F760" s="1">
        <v>7.9</v>
      </c>
      <c r="G760">
        <v>0</v>
      </c>
      <c r="H760" s="1">
        <v>0</v>
      </c>
      <c r="I760" s="1">
        <v>0</v>
      </c>
      <c r="J760" s="1">
        <v>7.9</v>
      </c>
      <c r="K760" s="1">
        <v>0</v>
      </c>
      <c r="L760" s="1">
        <v>7.9</v>
      </c>
      <c r="M760">
        <v>1</v>
      </c>
    </row>
    <row r="761" spans="1:13" x14ac:dyDescent="0.2">
      <c r="A761" t="s">
        <v>574</v>
      </c>
      <c r="B761" t="s">
        <v>14</v>
      </c>
      <c r="C761">
        <v>9336595000615</v>
      </c>
      <c r="D761" t="s">
        <v>162</v>
      </c>
      <c r="E761">
        <v>5</v>
      </c>
      <c r="F761" s="1">
        <v>39.5</v>
      </c>
      <c r="G761">
        <v>0</v>
      </c>
      <c r="H761" s="1">
        <v>0</v>
      </c>
      <c r="I761" s="1">
        <v>0</v>
      </c>
      <c r="J761" s="1">
        <v>39.5</v>
      </c>
      <c r="K761" s="1">
        <v>0</v>
      </c>
      <c r="L761" s="1">
        <v>39.5</v>
      </c>
      <c r="M761">
        <v>5</v>
      </c>
    </row>
    <row r="762" spans="1:13" x14ac:dyDescent="0.2">
      <c r="A762" t="s">
        <v>1194</v>
      </c>
      <c r="B762" t="s">
        <v>14</v>
      </c>
      <c r="C762">
        <v>9336595000509</v>
      </c>
      <c r="D762" t="s">
        <v>162</v>
      </c>
      <c r="E762">
        <v>2</v>
      </c>
      <c r="F762" s="1">
        <v>16.399999999999999</v>
      </c>
      <c r="G762">
        <v>0</v>
      </c>
      <c r="H762" s="1">
        <v>0</v>
      </c>
      <c r="I762" s="1">
        <v>0</v>
      </c>
      <c r="J762" s="1">
        <v>16.399999999999999</v>
      </c>
      <c r="K762" s="1">
        <v>0</v>
      </c>
      <c r="L762" s="1">
        <v>16.399999999999999</v>
      </c>
      <c r="M762">
        <v>2</v>
      </c>
    </row>
    <row r="763" spans="1:13" x14ac:dyDescent="0.2">
      <c r="A763" t="s">
        <v>382</v>
      </c>
      <c r="B763" t="s">
        <v>14</v>
      </c>
      <c r="C763">
        <v>9336595000516</v>
      </c>
      <c r="D763" t="s">
        <v>162</v>
      </c>
      <c r="E763">
        <v>3</v>
      </c>
      <c r="F763" s="1">
        <v>24.6</v>
      </c>
      <c r="G763">
        <v>0</v>
      </c>
      <c r="H763" s="1">
        <v>0</v>
      </c>
      <c r="I763" s="1">
        <v>-1.78</v>
      </c>
      <c r="J763" s="1">
        <v>22.82</v>
      </c>
      <c r="K763" s="1">
        <v>0</v>
      </c>
      <c r="L763" s="1">
        <v>22.82</v>
      </c>
      <c r="M763">
        <v>3</v>
      </c>
    </row>
    <row r="764" spans="1:13" x14ac:dyDescent="0.2">
      <c r="A764" t="s">
        <v>882</v>
      </c>
      <c r="B764" t="s">
        <v>14</v>
      </c>
      <c r="C764">
        <v>9356578000654</v>
      </c>
      <c r="D764" t="s">
        <v>162</v>
      </c>
      <c r="E764">
        <v>2</v>
      </c>
      <c r="F764" s="1">
        <v>35.700000000000003</v>
      </c>
      <c r="G764">
        <v>0</v>
      </c>
      <c r="H764" s="1">
        <v>0</v>
      </c>
      <c r="I764" s="1">
        <v>-15.45</v>
      </c>
      <c r="J764" s="1">
        <v>20.25</v>
      </c>
      <c r="K764" s="1">
        <v>0</v>
      </c>
      <c r="L764" s="1">
        <v>20.25</v>
      </c>
      <c r="M764">
        <v>2</v>
      </c>
    </row>
    <row r="765" spans="1:13" x14ac:dyDescent="0.2">
      <c r="A765" t="s">
        <v>1195</v>
      </c>
      <c r="B765" t="s">
        <v>14</v>
      </c>
      <c r="C765">
        <v>8051764324538</v>
      </c>
      <c r="D765" t="s">
        <v>162</v>
      </c>
      <c r="E765">
        <v>1</v>
      </c>
      <c r="F765" s="1">
        <v>8.1999999999999993</v>
      </c>
      <c r="G765">
        <v>0</v>
      </c>
      <c r="H765" s="1">
        <v>0</v>
      </c>
      <c r="I765" s="1">
        <v>0</v>
      </c>
      <c r="J765" s="1">
        <v>8.1999999999999993</v>
      </c>
      <c r="K765" s="1">
        <v>0</v>
      </c>
      <c r="L765" s="1">
        <v>8.1999999999999993</v>
      </c>
      <c r="M765">
        <v>1</v>
      </c>
    </row>
    <row r="766" spans="1:13" x14ac:dyDescent="0.2">
      <c r="A766" t="s">
        <v>1196</v>
      </c>
      <c r="B766" t="s">
        <v>14</v>
      </c>
      <c r="C766">
        <v>8051764324378</v>
      </c>
      <c r="D766" t="s">
        <v>162</v>
      </c>
      <c r="E766">
        <v>1</v>
      </c>
      <c r="F766" s="1">
        <v>8.1999999999999993</v>
      </c>
      <c r="G766">
        <v>0</v>
      </c>
      <c r="H766" s="1">
        <v>0</v>
      </c>
      <c r="I766" s="1">
        <v>0</v>
      </c>
      <c r="J766" s="1">
        <v>8.1999999999999993</v>
      </c>
      <c r="K766" s="1">
        <v>0</v>
      </c>
      <c r="L766" s="1">
        <v>8.1999999999999993</v>
      </c>
      <c r="M766">
        <v>1</v>
      </c>
    </row>
    <row r="767" spans="1:13" x14ac:dyDescent="0.2">
      <c r="A767" t="s">
        <v>883</v>
      </c>
      <c r="B767" t="s">
        <v>14</v>
      </c>
      <c r="C767">
        <v>9312336022344</v>
      </c>
      <c r="D767" t="s">
        <v>162</v>
      </c>
      <c r="E767">
        <v>1</v>
      </c>
      <c r="F767" s="1">
        <v>7</v>
      </c>
      <c r="G767">
        <v>0</v>
      </c>
      <c r="H767" s="1">
        <v>0</v>
      </c>
      <c r="I767" s="1">
        <v>0</v>
      </c>
      <c r="J767" s="1">
        <v>7</v>
      </c>
      <c r="K767" s="1">
        <v>0</v>
      </c>
      <c r="L767" s="1">
        <v>7</v>
      </c>
      <c r="M767">
        <v>1</v>
      </c>
    </row>
    <row r="768" spans="1:13" x14ac:dyDescent="0.2">
      <c r="A768" t="s">
        <v>1197</v>
      </c>
      <c r="B768" t="s">
        <v>14</v>
      </c>
      <c r="C768">
        <v>9312336022405</v>
      </c>
      <c r="D768" t="s">
        <v>162</v>
      </c>
      <c r="E768">
        <v>2</v>
      </c>
      <c r="F768" s="1">
        <v>11.8</v>
      </c>
      <c r="G768">
        <v>0</v>
      </c>
      <c r="H768" s="1">
        <v>0</v>
      </c>
      <c r="I768" s="1">
        <v>-0.26</v>
      </c>
      <c r="J768" s="1">
        <v>11.54</v>
      </c>
      <c r="K768" s="1">
        <v>0</v>
      </c>
      <c r="L768" s="1">
        <v>11.54</v>
      </c>
      <c r="M768">
        <v>2</v>
      </c>
    </row>
    <row r="769" spans="1:13" x14ac:dyDescent="0.2">
      <c r="A769" t="s">
        <v>575</v>
      </c>
      <c r="B769" t="s">
        <v>14</v>
      </c>
      <c r="C769">
        <v>9312336020166</v>
      </c>
      <c r="D769" t="s">
        <v>162</v>
      </c>
      <c r="E769">
        <v>2</v>
      </c>
      <c r="F769" s="1">
        <v>20.6</v>
      </c>
      <c r="G769">
        <v>0</v>
      </c>
      <c r="H769" s="1">
        <v>0</v>
      </c>
      <c r="I769" s="1">
        <v>0</v>
      </c>
      <c r="J769" s="1">
        <v>20.6</v>
      </c>
      <c r="K769" s="1">
        <v>0</v>
      </c>
      <c r="L769" s="1">
        <v>20.6</v>
      </c>
      <c r="M769">
        <v>2</v>
      </c>
    </row>
    <row r="770" spans="1:13" x14ac:dyDescent="0.2">
      <c r="A770" t="s">
        <v>1198</v>
      </c>
      <c r="B770" t="s">
        <v>14</v>
      </c>
      <c r="C770">
        <v>9312336065006</v>
      </c>
      <c r="D770" t="s">
        <v>162</v>
      </c>
      <c r="E770">
        <v>1</v>
      </c>
      <c r="F770" s="1">
        <v>5.45</v>
      </c>
      <c r="G770">
        <v>0</v>
      </c>
      <c r="H770" s="1">
        <v>0</v>
      </c>
      <c r="I770" s="1">
        <v>0</v>
      </c>
      <c r="J770" s="1">
        <v>5.45</v>
      </c>
      <c r="K770" s="1">
        <v>0</v>
      </c>
      <c r="L770" s="1">
        <v>5.45</v>
      </c>
      <c r="M770">
        <v>1</v>
      </c>
    </row>
    <row r="771" spans="1:13" x14ac:dyDescent="0.2">
      <c r="A771" t="s">
        <v>1199</v>
      </c>
      <c r="B771" t="s">
        <v>14</v>
      </c>
      <c r="C771">
        <v>9324794000987</v>
      </c>
      <c r="D771" t="s">
        <v>162</v>
      </c>
      <c r="E771">
        <v>2</v>
      </c>
      <c r="F771" s="1">
        <v>31.8</v>
      </c>
      <c r="G771">
        <v>-2</v>
      </c>
      <c r="H771" s="1">
        <v>-31.8</v>
      </c>
      <c r="I771" s="1">
        <v>0</v>
      </c>
      <c r="J771" s="1">
        <v>0</v>
      </c>
      <c r="K771" s="1">
        <v>0</v>
      </c>
      <c r="L771" s="1">
        <v>0</v>
      </c>
      <c r="M771">
        <v>2</v>
      </c>
    </row>
    <row r="772" spans="1:13" x14ac:dyDescent="0.2">
      <c r="A772" t="s">
        <v>1200</v>
      </c>
      <c r="B772" t="s">
        <v>14</v>
      </c>
      <c r="C772">
        <v>9348100000027</v>
      </c>
      <c r="D772" t="s">
        <v>162</v>
      </c>
      <c r="E772">
        <v>1</v>
      </c>
      <c r="F772" s="1">
        <v>4.5</v>
      </c>
      <c r="G772">
        <v>0</v>
      </c>
      <c r="H772" s="1">
        <v>0</v>
      </c>
      <c r="I772" s="1">
        <v>-0.11</v>
      </c>
      <c r="J772" s="1">
        <v>4.3899999999999997</v>
      </c>
      <c r="K772" s="1">
        <v>0</v>
      </c>
      <c r="L772" s="1">
        <v>4.3899999999999997</v>
      </c>
      <c r="M772">
        <v>1</v>
      </c>
    </row>
    <row r="773" spans="1:13" x14ac:dyDescent="0.2">
      <c r="A773" t="s">
        <v>1201</v>
      </c>
      <c r="B773" t="s">
        <v>14</v>
      </c>
      <c r="C773">
        <v>9348100000058</v>
      </c>
      <c r="D773" t="s">
        <v>162</v>
      </c>
      <c r="E773">
        <v>2</v>
      </c>
      <c r="F773" s="1">
        <v>9</v>
      </c>
      <c r="G773">
        <v>0</v>
      </c>
      <c r="H773" s="1">
        <v>0</v>
      </c>
      <c r="I773" s="1">
        <v>0</v>
      </c>
      <c r="J773" s="1">
        <v>9</v>
      </c>
      <c r="K773" s="1">
        <v>0</v>
      </c>
      <c r="L773" s="1">
        <v>9</v>
      </c>
      <c r="M773">
        <v>2</v>
      </c>
    </row>
    <row r="774" spans="1:13" x14ac:dyDescent="0.2">
      <c r="A774" t="s">
        <v>1202</v>
      </c>
      <c r="B774" t="s">
        <v>14</v>
      </c>
      <c r="C774">
        <v>9348100000102</v>
      </c>
      <c r="D774" t="s">
        <v>162</v>
      </c>
      <c r="E774">
        <v>1</v>
      </c>
      <c r="F774" s="1">
        <v>31.85</v>
      </c>
      <c r="G774">
        <v>0</v>
      </c>
      <c r="H774" s="1">
        <v>0</v>
      </c>
      <c r="I774" s="1">
        <v>-15.92</v>
      </c>
      <c r="J774" s="1">
        <v>15.93</v>
      </c>
      <c r="K774" s="1">
        <v>0</v>
      </c>
      <c r="L774" s="1">
        <v>15.93</v>
      </c>
      <c r="M774">
        <v>1</v>
      </c>
    </row>
    <row r="775" spans="1:13" x14ac:dyDescent="0.2">
      <c r="A775" t="s">
        <v>1203</v>
      </c>
      <c r="B775" t="s">
        <v>14</v>
      </c>
      <c r="C775">
        <v>5029354012588</v>
      </c>
      <c r="D775" t="s">
        <v>163</v>
      </c>
      <c r="E775">
        <v>1</v>
      </c>
      <c r="F775" s="1">
        <v>12.49</v>
      </c>
      <c r="G775">
        <v>0</v>
      </c>
      <c r="H775" s="1">
        <v>0</v>
      </c>
      <c r="I775" s="1">
        <v>0</v>
      </c>
      <c r="J775" s="1">
        <v>12.49</v>
      </c>
      <c r="K775" s="1">
        <v>1.26</v>
      </c>
      <c r="L775" s="1">
        <v>13.75</v>
      </c>
      <c r="M775">
        <v>1</v>
      </c>
    </row>
    <row r="776" spans="1:13" x14ac:dyDescent="0.2">
      <c r="A776" t="s">
        <v>1204</v>
      </c>
      <c r="B776" t="s">
        <v>14</v>
      </c>
      <c r="C776">
        <v>5029354002930</v>
      </c>
      <c r="D776" t="s">
        <v>163</v>
      </c>
      <c r="E776">
        <v>1</v>
      </c>
      <c r="F776" s="1">
        <v>12.49</v>
      </c>
      <c r="G776">
        <v>0</v>
      </c>
      <c r="H776" s="1">
        <v>0</v>
      </c>
      <c r="I776" s="1">
        <v>0</v>
      </c>
      <c r="J776" s="1">
        <v>12.49</v>
      </c>
      <c r="K776" s="1">
        <v>1.26</v>
      </c>
      <c r="L776" s="1">
        <v>13.75</v>
      </c>
      <c r="M776">
        <v>1</v>
      </c>
    </row>
    <row r="777" spans="1:13" x14ac:dyDescent="0.2">
      <c r="A777" t="s">
        <v>1205</v>
      </c>
      <c r="B777" t="s">
        <v>14</v>
      </c>
      <c r="C777">
        <v>9369998064557</v>
      </c>
      <c r="D777" t="s">
        <v>163</v>
      </c>
      <c r="E777">
        <v>1</v>
      </c>
      <c r="F777" s="1">
        <v>88</v>
      </c>
      <c r="G777">
        <v>-1</v>
      </c>
      <c r="H777" s="1">
        <v>-88</v>
      </c>
      <c r="I777" s="1">
        <v>0</v>
      </c>
      <c r="J777" s="1">
        <v>0</v>
      </c>
      <c r="K777" s="1">
        <v>0</v>
      </c>
      <c r="L777" s="1">
        <v>0</v>
      </c>
      <c r="M777">
        <v>1</v>
      </c>
    </row>
    <row r="778" spans="1:13" x14ac:dyDescent="0.2">
      <c r="A778" t="s">
        <v>1206</v>
      </c>
      <c r="B778" t="s">
        <v>14</v>
      </c>
      <c r="C778">
        <v>9369900010627</v>
      </c>
      <c r="D778" t="s">
        <v>163</v>
      </c>
      <c r="E778">
        <v>1</v>
      </c>
      <c r="F778" s="1">
        <v>55.35</v>
      </c>
      <c r="G778">
        <v>0</v>
      </c>
      <c r="H778" s="1">
        <v>0</v>
      </c>
      <c r="I778" s="1">
        <v>0</v>
      </c>
      <c r="J778" s="1">
        <v>55.35</v>
      </c>
      <c r="K778" s="1">
        <v>5.6</v>
      </c>
      <c r="L778" s="1">
        <v>60.95</v>
      </c>
      <c r="M778">
        <v>1</v>
      </c>
    </row>
    <row r="779" spans="1:13" x14ac:dyDescent="0.2">
      <c r="A779" t="s">
        <v>1207</v>
      </c>
      <c r="B779" t="s">
        <v>14</v>
      </c>
      <c r="C779">
        <v>9369998267873</v>
      </c>
      <c r="D779" t="s">
        <v>163</v>
      </c>
      <c r="E779">
        <v>1</v>
      </c>
      <c r="F779" s="1">
        <v>69.48</v>
      </c>
      <c r="G779">
        <v>0</v>
      </c>
      <c r="H779" s="1">
        <v>0</v>
      </c>
      <c r="I779" s="1">
        <v>0</v>
      </c>
      <c r="J779" s="1">
        <v>69.48</v>
      </c>
      <c r="K779" s="1">
        <v>7.02</v>
      </c>
      <c r="L779" s="1">
        <v>76.5</v>
      </c>
      <c r="M779">
        <v>1</v>
      </c>
    </row>
    <row r="780" spans="1:13" x14ac:dyDescent="0.2">
      <c r="A780" t="s">
        <v>884</v>
      </c>
      <c r="B780" t="s">
        <v>14</v>
      </c>
      <c r="C780">
        <v>694536823037</v>
      </c>
      <c r="D780" t="s">
        <v>163</v>
      </c>
      <c r="E780">
        <v>1</v>
      </c>
      <c r="F780" s="1">
        <v>46.65</v>
      </c>
      <c r="G780">
        <v>0</v>
      </c>
      <c r="H780" s="1">
        <v>0</v>
      </c>
      <c r="I780" s="1">
        <v>0</v>
      </c>
      <c r="J780" s="1">
        <v>46.65</v>
      </c>
      <c r="K780" s="1">
        <v>0</v>
      </c>
      <c r="L780" s="1">
        <v>46.65</v>
      </c>
      <c r="M780">
        <v>1</v>
      </c>
    </row>
    <row r="781" spans="1:13" x14ac:dyDescent="0.2">
      <c r="A781" t="s">
        <v>1208</v>
      </c>
      <c r="B781" t="s">
        <v>14</v>
      </c>
      <c r="C781">
        <v>9347246000106</v>
      </c>
      <c r="D781" t="s">
        <v>163</v>
      </c>
      <c r="E781">
        <v>3</v>
      </c>
      <c r="F781" s="1">
        <v>56.95</v>
      </c>
      <c r="G781">
        <v>0</v>
      </c>
      <c r="H781" s="1">
        <v>0</v>
      </c>
      <c r="I781" s="1">
        <v>0</v>
      </c>
      <c r="J781" s="1">
        <v>56.95</v>
      </c>
      <c r="K781" s="1">
        <v>5.75</v>
      </c>
      <c r="L781" s="1">
        <v>62.7</v>
      </c>
      <c r="M781">
        <v>3</v>
      </c>
    </row>
    <row r="782" spans="1:13" x14ac:dyDescent="0.2">
      <c r="A782" t="s">
        <v>698</v>
      </c>
      <c r="B782" t="s">
        <v>14</v>
      </c>
      <c r="C782">
        <v>9347246003596</v>
      </c>
      <c r="D782" t="s">
        <v>163</v>
      </c>
      <c r="E782">
        <v>1</v>
      </c>
      <c r="F782" s="1">
        <v>21.57</v>
      </c>
      <c r="G782">
        <v>0</v>
      </c>
      <c r="H782" s="1">
        <v>0</v>
      </c>
      <c r="I782" s="1">
        <v>0</v>
      </c>
      <c r="J782" s="1">
        <v>21.57</v>
      </c>
      <c r="K782" s="1">
        <v>2.1800000000000002</v>
      </c>
      <c r="L782" s="1">
        <v>23.75</v>
      </c>
      <c r="M782">
        <v>1</v>
      </c>
    </row>
    <row r="783" spans="1:13" x14ac:dyDescent="0.2">
      <c r="A783" t="s">
        <v>885</v>
      </c>
      <c r="B783" t="s">
        <v>14</v>
      </c>
      <c r="C783">
        <v>861226000003</v>
      </c>
      <c r="D783" t="s">
        <v>163</v>
      </c>
      <c r="E783">
        <v>1</v>
      </c>
      <c r="F783" s="1">
        <v>19.36</v>
      </c>
      <c r="G783">
        <v>0</v>
      </c>
      <c r="H783" s="1">
        <v>0</v>
      </c>
      <c r="I783" s="1">
        <v>-1.1599999999999999</v>
      </c>
      <c r="J783" s="1">
        <v>18.2</v>
      </c>
      <c r="K783" s="1">
        <v>1.84</v>
      </c>
      <c r="L783" s="1">
        <v>20.04</v>
      </c>
      <c r="M783">
        <v>1</v>
      </c>
    </row>
    <row r="784" spans="1:13" x14ac:dyDescent="0.2">
      <c r="A784" t="s">
        <v>1209</v>
      </c>
      <c r="B784" t="s">
        <v>14</v>
      </c>
      <c r="C784">
        <v>850046443114</v>
      </c>
      <c r="D784" t="s">
        <v>163</v>
      </c>
      <c r="E784">
        <v>1</v>
      </c>
      <c r="F784" s="1">
        <v>19.25</v>
      </c>
      <c r="G784">
        <v>0</v>
      </c>
      <c r="H784" s="1">
        <v>0</v>
      </c>
      <c r="I784" s="1">
        <v>0</v>
      </c>
      <c r="J784" s="1">
        <v>19.25</v>
      </c>
      <c r="K784" s="1">
        <v>1.95</v>
      </c>
      <c r="L784" s="1">
        <v>21.2</v>
      </c>
      <c r="M784">
        <v>1</v>
      </c>
    </row>
    <row r="785" spans="1:13" x14ac:dyDescent="0.2">
      <c r="A785" t="s">
        <v>886</v>
      </c>
      <c r="B785" t="s">
        <v>14</v>
      </c>
      <c r="C785">
        <v>60210133</v>
      </c>
      <c r="D785" t="s">
        <v>163</v>
      </c>
      <c r="E785">
        <v>2</v>
      </c>
      <c r="F785" s="1">
        <v>31.19</v>
      </c>
      <c r="G785">
        <v>0</v>
      </c>
      <c r="H785" s="1">
        <v>0</v>
      </c>
      <c r="I785" s="1">
        <v>-3.4</v>
      </c>
      <c r="J785" s="1">
        <v>27.79</v>
      </c>
      <c r="K785" s="1">
        <v>2.81</v>
      </c>
      <c r="L785" s="1">
        <v>30.6</v>
      </c>
      <c r="M785">
        <v>2</v>
      </c>
    </row>
    <row r="786" spans="1:13" x14ac:dyDescent="0.2">
      <c r="A786" t="s">
        <v>1210</v>
      </c>
      <c r="B786" t="s">
        <v>14</v>
      </c>
      <c r="C786">
        <v>18787980019</v>
      </c>
      <c r="D786" t="s">
        <v>163</v>
      </c>
      <c r="E786">
        <v>1</v>
      </c>
      <c r="F786" s="1">
        <v>25.02</v>
      </c>
      <c r="G786">
        <v>0</v>
      </c>
      <c r="H786" s="1">
        <v>0</v>
      </c>
      <c r="I786" s="1">
        <v>0</v>
      </c>
      <c r="J786" s="1">
        <v>25.02</v>
      </c>
      <c r="K786" s="1">
        <v>2.5299999999999998</v>
      </c>
      <c r="L786" s="1">
        <v>27.55</v>
      </c>
      <c r="M786">
        <v>1</v>
      </c>
    </row>
    <row r="787" spans="1:13" x14ac:dyDescent="0.2">
      <c r="A787" t="s">
        <v>1211</v>
      </c>
      <c r="B787" t="s">
        <v>14</v>
      </c>
      <c r="C787">
        <v>806809663831</v>
      </c>
      <c r="D787" t="s">
        <v>163</v>
      </c>
      <c r="E787">
        <v>1</v>
      </c>
      <c r="F787" s="1">
        <v>17.8</v>
      </c>
      <c r="G787">
        <v>0</v>
      </c>
      <c r="H787" s="1">
        <v>0</v>
      </c>
      <c r="I787" s="1">
        <v>0</v>
      </c>
      <c r="J787" s="1">
        <v>17.8</v>
      </c>
      <c r="K787" s="1">
        <v>0</v>
      </c>
      <c r="L787" s="1">
        <v>17.8</v>
      </c>
      <c r="M787">
        <v>1</v>
      </c>
    </row>
    <row r="788" spans="1:13" x14ac:dyDescent="0.2">
      <c r="A788" t="s">
        <v>1212</v>
      </c>
      <c r="B788" t="s">
        <v>14</v>
      </c>
      <c r="C788">
        <v>5060391844213</v>
      </c>
      <c r="D788" t="s">
        <v>163</v>
      </c>
      <c r="E788">
        <v>1</v>
      </c>
      <c r="F788" s="1">
        <v>12.49</v>
      </c>
      <c r="G788">
        <v>0</v>
      </c>
      <c r="H788" s="1">
        <v>0</v>
      </c>
      <c r="I788" s="1">
        <v>0</v>
      </c>
      <c r="J788" s="1">
        <v>12.49</v>
      </c>
      <c r="K788" s="1">
        <v>1.26</v>
      </c>
      <c r="L788" s="1">
        <v>13.75</v>
      </c>
      <c r="M788">
        <v>1</v>
      </c>
    </row>
    <row r="789" spans="1:13" x14ac:dyDescent="0.2">
      <c r="A789" t="s">
        <v>1213</v>
      </c>
      <c r="B789" t="s">
        <v>14</v>
      </c>
      <c r="C789">
        <v>9317222001427</v>
      </c>
      <c r="D789" t="s">
        <v>163</v>
      </c>
      <c r="E789">
        <v>1</v>
      </c>
      <c r="F789" s="1">
        <v>13.17</v>
      </c>
      <c r="G789">
        <v>0</v>
      </c>
      <c r="H789" s="1">
        <v>0</v>
      </c>
      <c r="I789" s="1">
        <v>0</v>
      </c>
      <c r="J789" s="1">
        <v>13.17</v>
      </c>
      <c r="K789" s="1">
        <v>1.33</v>
      </c>
      <c r="L789" s="1">
        <v>14.5</v>
      </c>
      <c r="M789">
        <v>1</v>
      </c>
    </row>
    <row r="790" spans="1:13" x14ac:dyDescent="0.2">
      <c r="A790" t="s">
        <v>887</v>
      </c>
      <c r="B790" t="s">
        <v>14</v>
      </c>
      <c r="C790">
        <v>9317222001342</v>
      </c>
      <c r="D790" t="s">
        <v>163</v>
      </c>
      <c r="E790">
        <v>1</v>
      </c>
      <c r="F790" s="1">
        <v>13.17</v>
      </c>
      <c r="G790">
        <v>0</v>
      </c>
      <c r="H790" s="1">
        <v>0</v>
      </c>
      <c r="I790" s="1">
        <v>0</v>
      </c>
      <c r="J790" s="1">
        <v>13.17</v>
      </c>
      <c r="K790" s="1">
        <v>1.33</v>
      </c>
      <c r="L790" s="1">
        <v>14.5</v>
      </c>
      <c r="M790">
        <v>1</v>
      </c>
    </row>
    <row r="791" spans="1:13" x14ac:dyDescent="0.2">
      <c r="A791" t="s">
        <v>888</v>
      </c>
      <c r="B791" t="s">
        <v>14</v>
      </c>
      <c r="C791">
        <v>9421038080092</v>
      </c>
      <c r="D791" t="s">
        <v>163</v>
      </c>
      <c r="E791">
        <v>1</v>
      </c>
      <c r="F791" s="1">
        <v>14.67</v>
      </c>
      <c r="G791">
        <v>0</v>
      </c>
      <c r="H791" s="1">
        <v>0</v>
      </c>
      <c r="I791" s="1">
        <v>-2.35</v>
      </c>
      <c r="J791" s="1">
        <v>12.32</v>
      </c>
      <c r="K791" s="1">
        <v>1.23</v>
      </c>
      <c r="L791" s="1">
        <v>13.55</v>
      </c>
      <c r="M791">
        <v>1</v>
      </c>
    </row>
    <row r="792" spans="1:13" x14ac:dyDescent="0.2">
      <c r="A792" t="s">
        <v>1214</v>
      </c>
      <c r="B792" t="s">
        <v>14</v>
      </c>
      <c r="C792">
        <v>9421038080115</v>
      </c>
      <c r="D792" t="s">
        <v>163</v>
      </c>
      <c r="E792">
        <v>1</v>
      </c>
      <c r="F792" s="1">
        <v>7.67</v>
      </c>
      <c r="G792">
        <v>0</v>
      </c>
      <c r="H792" s="1">
        <v>0</v>
      </c>
      <c r="I792" s="1">
        <v>0</v>
      </c>
      <c r="J792" s="1">
        <v>7.67</v>
      </c>
      <c r="K792" s="1">
        <v>0.78</v>
      </c>
      <c r="L792" s="1">
        <v>8.4499999999999993</v>
      </c>
      <c r="M792">
        <v>1</v>
      </c>
    </row>
    <row r="793" spans="1:13" x14ac:dyDescent="0.2">
      <c r="A793" t="s">
        <v>1215</v>
      </c>
      <c r="B793" t="s">
        <v>14</v>
      </c>
      <c r="C793">
        <v>9356892000149</v>
      </c>
      <c r="D793" t="s">
        <v>163</v>
      </c>
      <c r="E793">
        <v>1</v>
      </c>
      <c r="F793" s="1">
        <v>13.08</v>
      </c>
      <c r="G793">
        <v>0</v>
      </c>
      <c r="H793" s="1">
        <v>0</v>
      </c>
      <c r="I793" s="1">
        <v>0</v>
      </c>
      <c r="J793" s="1">
        <v>13.08</v>
      </c>
      <c r="K793" s="1">
        <v>1.32</v>
      </c>
      <c r="L793" s="1">
        <v>14.4</v>
      </c>
      <c r="M793">
        <v>1</v>
      </c>
    </row>
    <row r="794" spans="1:13" x14ac:dyDescent="0.2">
      <c r="A794" t="s">
        <v>1216</v>
      </c>
      <c r="B794" t="s">
        <v>14</v>
      </c>
      <c r="C794">
        <v>9413000008739</v>
      </c>
      <c r="D794" t="s">
        <v>163</v>
      </c>
      <c r="E794">
        <v>1</v>
      </c>
      <c r="F794" s="1">
        <v>4.7699999999999996</v>
      </c>
      <c r="G794">
        <v>0</v>
      </c>
      <c r="H794" s="1">
        <v>0</v>
      </c>
      <c r="I794" s="1">
        <v>0</v>
      </c>
      <c r="J794" s="1">
        <v>4.7699999999999996</v>
      </c>
      <c r="K794" s="1">
        <v>0.48</v>
      </c>
      <c r="L794" s="1">
        <v>5.25</v>
      </c>
      <c r="M794">
        <v>1</v>
      </c>
    </row>
    <row r="795" spans="1:13" x14ac:dyDescent="0.2">
      <c r="A795" t="s">
        <v>1217</v>
      </c>
      <c r="B795" t="s">
        <v>14</v>
      </c>
      <c r="C795">
        <v>9337825001136</v>
      </c>
      <c r="D795" t="s">
        <v>163</v>
      </c>
      <c r="E795">
        <v>1</v>
      </c>
      <c r="F795" s="1">
        <v>8.49</v>
      </c>
      <c r="G795">
        <v>0</v>
      </c>
      <c r="H795" s="1">
        <v>0</v>
      </c>
      <c r="I795" s="1">
        <v>-2.46</v>
      </c>
      <c r="J795" s="1">
        <v>6.03</v>
      </c>
      <c r="K795" s="1">
        <v>0.61</v>
      </c>
      <c r="L795" s="1">
        <v>6.64</v>
      </c>
      <c r="M795">
        <v>1</v>
      </c>
    </row>
    <row r="796" spans="1:13" x14ac:dyDescent="0.2">
      <c r="A796" t="s">
        <v>889</v>
      </c>
      <c r="B796" t="s">
        <v>14</v>
      </c>
      <c r="C796">
        <v>9312812002006</v>
      </c>
      <c r="D796" t="s">
        <v>163</v>
      </c>
      <c r="E796">
        <v>1</v>
      </c>
      <c r="F796" s="1">
        <v>4.3600000000000003</v>
      </c>
      <c r="G796">
        <v>0</v>
      </c>
      <c r="H796" s="1">
        <v>0</v>
      </c>
      <c r="I796" s="1">
        <v>0</v>
      </c>
      <c r="J796" s="1">
        <v>4.3600000000000003</v>
      </c>
      <c r="K796" s="1">
        <v>0.44</v>
      </c>
      <c r="L796" s="1">
        <v>4.8</v>
      </c>
      <c r="M796">
        <v>1</v>
      </c>
    </row>
    <row r="797" spans="1:13" x14ac:dyDescent="0.2">
      <c r="A797" t="s">
        <v>1218</v>
      </c>
      <c r="B797" t="s">
        <v>14</v>
      </c>
      <c r="C797">
        <v>9312812000903</v>
      </c>
      <c r="D797" t="s">
        <v>163</v>
      </c>
      <c r="E797">
        <v>1</v>
      </c>
      <c r="F797" s="1">
        <v>12.99</v>
      </c>
      <c r="G797">
        <v>0</v>
      </c>
      <c r="H797" s="1">
        <v>0</v>
      </c>
      <c r="I797" s="1">
        <v>0</v>
      </c>
      <c r="J797" s="1">
        <v>12.99</v>
      </c>
      <c r="K797" s="1">
        <v>1.31</v>
      </c>
      <c r="L797" s="1">
        <v>14.3</v>
      </c>
      <c r="M797">
        <v>1</v>
      </c>
    </row>
    <row r="798" spans="1:13" x14ac:dyDescent="0.2">
      <c r="A798" t="s">
        <v>1219</v>
      </c>
      <c r="B798" t="s">
        <v>14</v>
      </c>
      <c r="C798">
        <v>9421036300567</v>
      </c>
      <c r="D798" t="s">
        <v>163</v>
      </c>
      <c r="E798">
        <v>1</v>
      </c>
      <c r="F798" s="1">
        <v>5.4</v>
      </c>
      <c r="G798">
        <v>0</v>
      </c>
      <c r="H798" s="1">
        <v>0</v>
      </c>
      <c r="I798" s="1">
        <v>0</v>
      </c>
      <c r="J798" s="1">
        <v>5.4</v>
      </c>
      <c r="K798" s="1">
        <v>0.55000000000000004</v>
      </c>
      <c r="L798" s="1">
        <v>5.95</v>
      </c>
      <c r="M798">
        <v>1</v>
      </c>
    </row>
    <row r="799" spans="1:13" x14ac:dyDescent="0.2">
      <c r="A799" t="s">
        <v>576</v>
      </c>
      <c r="B799" t="s">
        <v>14</v>
      </c>
      <c r="C799">
        <v>9421036300390</v>
      </c>
      <c r="D799" t="s">
        <v>163</v>
      </c>
      <c r="E799">
        <v>4</v>
      </c>
      <c r="F799" s="1">
        <v>21.6</v>
      </c>
      <c r="G799">
        <v>0</v>
      </c>
      <c r="H799" s="1">
        <v>0</v>
      </c>
      <c r="I799" s="1">
        <v>0</v>
      </c>
      <c r="J799" s="1">
        <v>21.6</v>
      </c>
      <c r="K799" s="1">
        <v>2.2000000000000002</v>
      </c>
      <c r="L799" s="1">
        <v>23.8</v>
      </c>
      <c r="M799">
        <v>4</v>
      </c>
    </row>
    <row r="800" spans="1:13" x14ac:dyDescent="0.2">
      <c r="A800" t="s">
        <v>1220</v>
      </c>
      <c r="B800" t="s">
        <v>14</v>
      </c>
      <c r="C800">
        <v>1264966</v>
      </c>
      <c r="D800" t="s">
        <v>163</v>
      </c>
      <c r="E800">
        <v>1</v>
      </c>
      <c r="F800" s="1">
        <v>7.72</v>
      </c>
      <c r="G800">
        <v>0</v>
      </c>
      <c r="H800" s="1">
        <v>0</v>
      </c>
      <c r="I800" s="1">
        <v>0</v>
      </c>
      <c r="J800" s="1">
        <v>7.72</v>
      </c>
      <c r="K800" s="1">
        <v>0.78</v>
      </c>
      <c r="L800" s="1">
        <v>8.5</v>
      </c>
      <c r="M800">
        <v>1</v>
      </c>
    </row>
    <row r="801" spans="1:13" x14ac:dyDescent="0.2">
      <c r="A801" t="s">
        <v>1221</v>
      </c>
      <c r="B801" t="s">
        <v>14</v>
      </c>
      <c r="C801">
        <v>9421036302080</v>
      </c>
      <c r="D801" t="s">
        <v>163</v>
      </c>
      <c r="E801">
        <v>1</v>
      </c>
      <c r="F801" s="1">
        <v>7.72</v>
      </c>
      <c r="G801">
        <v>0</v>
      </c>
      <c r="H801" s="1">
        <v>0</v>
      </c>
      <c r="I801" s="1">
        <v>0</v>
      </c>
      <c r="J801" s="1">
        <v>7.72</v>
      </c>
      <c r="K801" s="1">
        <v>0.78</v>
      </c>
      <c r="L801" s="1">
        <v>8.5</v>
      </c>
      <c r="M801">
        <v>1</v>
      </c>
    </row>
    <row r="802" spans="1:13" x14ac:dyDescent="0.2">
      <c r="A802" t="s">
        <v>1222</v>
      </c>
      <c r="B802" t="s">
        <v>14</v>
      </c>
      <c r="C802">
        <v>797776076314</v>
      </c>
      <c r="D802" t="s">
        <v>163</v>
      </c>
      <c r="E802">
        <v>1</v>
      </c>
      <c r="F802" s="1">
        <v>30.79</v>
      </c>
      <c r="G802">
        <v>0</v>
      </c>
      <c r="H802" s="1">
        <v>0</v>
      </c>
      <c r="I802" s="1">
        <v>0</v>
      </c>
      <c r="J802" s="1">
        <v>30.79</v>
      </c>
      <c r="K802" s="1">
        <v>3.11</v>
      </c>
      <c r="L802" s="1">
        <v>33.9</v>
      </c>
      <c r="M802">
        <v>1</v>
      </c>
    </row>
    <row r="803" spans="1:13" x14ac:dyDescent="0.2">
      <c r="A803" t="s">
        <v>890</v>
      </c>
      <c r="B803" t="s">
        <v>14</v>
      </c>
      <c r="C803">
        <v>851228005007</v>
      </c>
      <c r="D803" t="s">
        <v>163</v>
      </c>
      <c r="E803">
        <v>2</v>
      </c>
      <c r="F803" s="1">
        <v>17.260000000000002</v>
      </c>
      <c r="G803">
        <v>0</v>
      </c>
      <c r="H803" s="1">
        <v>0</v>
      </c>
      <c r="I803" s="1">
        <v>0</v>
      </c>
      <c r="J803" s="1">
        <v>17.260000000000002</v>
      </c>
      <c r="K803" s="1">
        <v>1.74</v>
      </c>
      <c r="L803" s="1">
        <v>19</v>
      </c>
      <c r="M803">
        <v>2</v>
      </c>
    </row>
    <row r="804" spans="1:13" x14ac:dyDescent="0.2">
      <c r="A804" t="s">
        <v>1223</v>
      </c>
      <c r="B804" t="s">
        <v>14</v>
      </c>
      <c r="C804">
        <v>851228005014</v>
      </c>
      <c r="D804" t="s">
        <v>163</v>
      </c>
      <c r="E804">
        <v>2</v>
      </c>
      <c r="F804" s="1">
        <v>17.260000000000002</v>
      </c>
      <c r="G804">
        <v>0</v>
      </c>
      <c r="H804" s="1">
        <v>0</v>
      </c>
      <c r="I804" s="1">
        <v>0</v>
      </c>
      <c r="J804" s="1">
        <v>17.260000000000002</v>
      </c>
      <c r="K804" s="1">
        <v>1.74</v>
      </c>
      <c r="L804" s="1">
        <v>19</v>
      </c>
      <c r="M804">
        <v>2</v>
      </c>
    </row>
    <row r="805" spans="1:13" x14ac:dyDescent="0.2">
      <c r="A805" t="s">
        <v>1224</v>
      </c>
      <c r="B805" t="s">
        <v>14</v>
      </c>
      <c r="C805">
        <v>851228005403</v>
      </c>
      <c r="D805" t="s">
        <v>163</v>
      </c>
      <c r="E805">
        <v>1</v>
      </c>
      <c r="F805" s="1">
        <v>8.6199999999999992</v>
      </c>
      <c r="G805">
        <v>0</v>
      </c>
      <c r="H805" s="1">
        <v>0</v>
      </c>
      <c r="I805" s="1">
        <v>0</v>
      </c>
      <c r="J805" s="1">
        <v>8.6199999999999992</v>
      </c>
      <c r="K805" s="1">
        <v>0.88</v>
      </c>
      <c r="L805" s="1">
        <v>9.5</v>
      </c>
      <c r="M805">
        <v>1</v>
      </c>
    </row>
    <row r="806" spans="1:13" x14ac:dyDescent="0.2">
      <c r="A806" t="s">
        <v>1225</v>
      </c>
      <c r="B806" t="s">
        <v>14</v>
      </c>
      <c r="C806">
        <v>851228005182</v>
      </c>
      <c r="D806" t="s">
        <v>163</v>
      </c>
      <c r="E806">
        <v>2</v>
      </c>
      <c r="F806" s="1">
        <v>17.25</v>
      </c>
      <c r="G806">
        <v>0</v>
      </c>
      <c r="H806" s="1">
        <v>0</v>
      </c>
      <c r="I806" s="1">
        <v>0</v>
      </c>
      <c r="J806" s="1">
        <v>17.25</v>
      </c>
      <c r="K806" s="1">
        <v>1.75</v>
      </c>
      <c r="L806" s="1">
        <v>19</v>
      </c>
      <c r="M806">
        <v>2</v>
      </c>
    </row>
    <row r="807" spans="1:13" x14ac:dyDescent="0.2">
      <c r="A807" t="s">
        <v>577</v>
      </c>
      <c r="B807" t="s">
        <v>14</v>
      </c>
      <c r="C807">
        <v>9312657009017</v>
      </c>
      <c r="D807" t="s">
        <v>163</v>
      </c>
      <c r="E807">
        <v>1</v>
      </c>
      <c r="F807" s="1">
        <v>7.04</v>
      </c>
      <c r="G807">
        <v>0</v>
      </c>
      <c r="H807" s="1">
        <v>0</v>
      </c>
      <c r="I807" s="1">
        <v>0</v>
      </c>
      <c r="J807" s="1">
        <v>7.04</v>
      </c>
      <c r="K807" s="1">
        <v>0.71</v>
      </c>
      <c r="L807" s="1">
        <v>7.75</v>
      </c>
      <c r="M807">
        <v>1</v>
      </c>
    </row>
    <row r="808" spans="1:13" x14ac:dyDescent="0.2">
      <c r="A808" t="s">
        <v>1226</v>
      </c>
      <c r="B808" t="s">
        <v>14</v>
      </c>
      <c r="C808">
        <v>9346365001131</v>
      </c>
      <c r="D808" t="s">
        <v>163</v>
      </c>
      <c r="E808">
        <v>1</v>
      </c>
      <c r="F808" s="1">
        <v>27.2</v>
      </c>
      <c r="G808">
        <v>0</v>
      </c>
      <c r="H808" s="1">
        <v>0</v>
      </c>
      <c r="I808" s="1">
        <v>0</v>
      </c>
      <c r="J808" s="1">
        <v>27.2</v>
      </c>
      <c r="K808" s="1">
        <v>2.75</v>
      </c>
      <c r="L808" s="1">
        <v>29.95</v>
      </c>
      <c r="M808">
        <v>1</v>
      </c>
    </row>
    <row r="809" spans="1:13" x14ac:dyDescent="0.2">
      <c r="A809" t="s">
        <v>1227</v>
      </c>
      <c r="B809" t="s">
        <v>14</v>
      </c>
      <c r="C809">
        <v>9346365000103</v>
      </c>
      <c r="D809" t="s">
        <v>163</v>
      </c>
      <c r="E809">
        <v>1</v>
      </c>
      <c r="F809" s="1">
        <v>31.74</v>
      </c>
      <c r="G809">
        <v>0</v>
      </c>
      <c r="H809" s="1">
        <v>0</v>
      </c>
      <c r="I809" s="1">
        <v>0</v>
      </c>
      <c r="J809" s="1">
        <v>31.74</v>
      </c>
      <c r="K809" s="1">
        <v>3.21</v>
      </c>
      <c r="L809" s="1">
        <v>34.950000000000003</v>
      </c>
      <c r="M809">
        <v>1</v>
      </c>
    </row>
    <row r="810" spans="1:13" x14ac:dyDescent="0.2">
      <c r="A810" t="s">
        <v>891</v>
      </c>
      <c r="B810" t="s">
        <v>14</v>
      </c>
      <c r="C810">
        <v>9346365000639</v>
      </c>
      <c r="D810" t="s">
        <v>163</v>
      </c>
      <c r="E810">
        <v>1</v>
      </c>
      <c r="F810" s="1">
        <v>29.93</v>
      </c>
      <c r="G810">
        <v>0</v>
      </c>
      <c r="H810" s="1">
        <v>0</v>
      </c>
      <c r="I810" s="1">
        <v>0</v>
      </c>
      <c r="J810" s="1">
        <v>29.93</v>
      </c>
      <c r="K810" s="1">
        <v>3.02</v>
      </c>
      <c r="L810" s="1">
        <v>32.950000000000003</v>
      </c>
      <c r="M810">
        <v>1</v>
      </c>
    </row>
    <row r="811" spans="1:13" x14ac:dyDescent="0.2">
      <c r="A811" t="s">
        <v>1228</v>
      </c>
      <c r="B811" t="s">
        <v>14</v>
      </c>
      <c r="C811">
        <v>9352471000197</v>
      </c>
      <c r="D811" t="s">
        <v>163</v>
      </c>
      <c r="E811">
        <v>1</v>
      </c>
      <c r="F811" s="1">
        <v>19.350000000000001</v>
      </c>
      <c r="G811">
        <v>0</v>
      </c>
      <c r="H811" s="1">
        <v>0</v>
      </c>
      <c r="I811" s="1">
        <v>-1.1599999999999999</v>
      </c>
      <c r="J811" s="1">
        <v>18.190000000000001</v>
      </c>
      <c r="K811" s="1">
        <v>1.85</v>
      </c>
      <c r="L811" s="1">
        <v>20.04</v>
      </c>
      <c r="M811">
        <v>1</v>
      </c>
    </row>
    <row r="812" spans="1:13" x14ac:dyDescent="0.2">
      <c r="A812" t="s">
        <v>1229</v>
      </c>
      <c r="B812" t="s">
        <v>14</v>
      </c>
      <c r="C812">
        <v>9352471000180</v>
      </c>
      <c r="D812" t="s">
        <v>163</v>
      </c>
      <c r="E812">
        <v>2</v>
      </c>
      <c r="F812" s="1">
        <v>38.5</v>
      </c>
      <c r="G812">
        <v>0</v>
      </c>
      <c r="H812" s="1">
        <v>0</v>
      </c>
      <c r="I812" s="1">
        <v>0</v>
      </c>
      <c r="J812" s="1">
        <v>38.5</v>
      </c>
      <c r="K812" s="1">
        <v>3.9</v>
      </c>
      <c r="L812" s="1">
        <v>42.4</v>
      </c>
      <c r="M812">
        <v>2</v>
      </c>
    </row>
    <row r="813" spans="1:13" x14ac:dyDescent="0.2">
      <c r="A813" t="s">
        <v>892</v>
      </c>
      <c r="B813" t="s">
        <v>14</v>
      </c>
      <c r="C813">
        <v>9359130000017</v>
      </c>
      <c r="D813" t="s">
        <v>163</v>
      </c>
      <c r="E813">
        <v>1</v>
      </c>
      <c r="F813" s="1">
        <v>29.1</v>
      </c>
      <c r="G813">
        <v>0</v>
      </c>
      <c r="H813" s="1">
        <v>0</v>
      </c>
      <c r="I813" s="1">
        <v>-5.82</v>
      </c>
      <c r="J813" s="1">
        <v>23.28</v>
      </c>
      <c r="K813" s="1">
        <v>0</v>
      </c>
      <c r="L813" s="1">
        <v>23.28</v>
      </c>
      <c r="M813">
        <v>1</v>
      </c>
    </row>
    <row r="814" spans="1:13" x14ac:dyDescent="0.2">
      <c r="A814" t="s">
        <v>578</v>
      </c>
      <c r="B814" t="s">
        <v>14</v>
      </c>
      <c r="C814">
        <v>9359130000000</v>
      </c>
      <c r="D814" t="s">
        <v>163</v>
      </c>
      <c r="E814">
        <v>2</v>
      </c>
      <c r="F814" s="1">
        <v>70.2</v>
      </c>
      <c r="G814">
        <v>0</v>
      </c>
      <c r="H814" s="1">
        <v>0</v>
      </c>
      <c r="I814" s="1">
        <v>-2.56</v>
      </c>
      <c r="J814" s="1">
        <v>67.64</v>
      </c>
      <c r="K814" s="1">
        <v>0</v>
      </c>
      <c r="L814" s="1">
        <v>67.64</v>
      </c>
      <c r="M814">
        <v>2</v>
      </c>
    </row>
    <row r="815" spans="1:13" x14ac:dyDescent="0.2">
      <c r="A815" t="s">
        <v>1230</v>
      </c>
      <c r="B815" t="s">
        <v>14</v>
      </c>
      <c r="C815">
        <v>781005414640</v>
      </c>
      <c r="D815" t="s">
        <v>163</v>
      </c>
      <c r="E815">
        <v>1</v>
      </c>
      <c r="F815" s="1">
        <v>46.27</v>
      </c>
      <c r="G815">
        <v>0</v>
      </c>
      <c r="H815" s="1">
        <v>0</v>
      </c>
      <c r="I815" s="1">
        <v>0</v>
      </c>
      <c r="J815" s="1">
        <v>46.27</v>
      </c>
      <c r="K815" s="1">
        <v>4.68</v>
      </c>
      <c r="L815" s="1">
        <v>50.95</v>
      </c>
      <c r="M815">
        <v>1</v>
      </c>
    </row>
    <row r="816" spans="1:13" x14ac:dyDescent="0.2">
      <c r="A816" t="s">
        <v>699</v>
      </c>
      <c r="B816" t="s">
        <v>14</v>
      </c>
      <c r="C816">
        <v>782126203137</v>
      </c>
      <c r="D816" t="s">
        <v>163</v>
      </c>
      <c r="E816">
        <v>1</v>
      </c>
      <c r="F816" s="1">
        <v>6.18</v>
      </c>
      <c r="G816">
        <v>0</v>
      </c>
      <c r="H816" s="1">
        <v>0</v>
      </c>
      <c r="I816" s="1">
        <v>0</v>
      </c>
      <c r="J816" s="1">
        <v>6.18</v>
      </c>
      <c r="K816" s="1">
        <v>0.62</v>
      </c>
      <c r="L816" s="1">
        <v>6.8</v>
      </c>
      <c r="M816">
        <v>1</v>
      </c>
    </row>
    <row r="817" spans="1:13" x14ac:dyDescent="0.2">
      <c r="A817" t="s">
        <v>1231</v>
      </c>
      <c r="B817" t="s">
        <v>14</v>
      </c>
      <c r="D817" t="s">
        <v>163</v>
      </c>
      <c r="E817">
        <v>1</v>
      </c>
      <c r="F817" s="1">
        <v>14.44</v>
      </c>
      <c r="G817">
        <v>0</v>
      </c>
      <c r="H817" s="1">
        <v>0</v>
      </c>
      <c r="I817" s="1">
        <v>0</v>
      </c>
      <c r="J817" s="1">
        <v>14.44</v>
      </c>
      <c r="K817" s="1">
        <v>1.46</v>
      </c>
      <c r="L817" s="1">
        <v>15.9</v>
      </c>
      <c r="M817">
        <v>1</v>
      </c>
    </row>
    <row r="818" spans="1:13" x14ac:dyDescent="0.2">
      <c r="A818" t="s">
        <v>893</v>
      </c>
      <c r="B818" t="s">
        <v>14</v>
      </c>
      <c r="C818">
        <v>9352218000909</v>
      </c>
      <c r="D818" t="s">
        <v>163</v>
      </c>
      <c r="E818">
        <v>2</v>
      </c>
      <c r="F818" s="1">
        <v>33.909999999999997</v>
      </c>
      <c r="G818">
        <v>0</v>
      </c>
      <c r="H818" s="1">
        <v>0</v>
      </c>
      <c r="I818" s="1">
        <v>-1.36</v>
      </c>
      <c r="J818" s="1">
        <v>32.549999999999997</v>
      </c>
      <c r="K818" s="1">
        <v>3.29</v>
      </c>
      <c r="L818" s="1">
        <v>35.840000000000003</v>
      </c>
      <c r="M818">
        <v>2</v>
      </c>
    </row>
    <row r="819" spans="1:13" x14ac:dyDescent="0.2">
      <c r="A819" t="s">
        <v>700</v>
      </c>
      <c r="B819" t="s">
        <v>14</v>
      </c>
      <c r="C819">
        <v>9352218000251</v>
      </c>
      <c r="D819" t="s">
        <v>163</v>
      </c>
      <c r="E819">
        <v>1</v>
      </c>
      <c r="F819" s="1">
        <v>16.3</v>
      </c>
      <c r="G819">
        <v>0</v>
      </c>
      <c r="H819" s="1">
        <v>0</v>
      </c>
      <c r="I819" s="1">
        <v>0</v>
      </c>
      <c r="J819" s="1">
        <v>16.3</v>
      </c>
      <c r="K819" s="1">
        <v>1.65</v>
      </c>
      <c r="L819" s="1">
        <v>17.95</v>
      </c>
      <c r="M819">
        <v>1</v>
      </c>
    </row>
    <row r="820" spans="1:13" x14ac:dyDescent="0.2">
      <c r="A820" t="s">
        <v>1232</v>
      </c>
      <c r="B820" t="s">
        <v>14</v>
      </c>
      <c r="C820">
        <v>9352218000732</v>
      </c>
      <c r="D820" t="s">
        <v>163</v>
      </c>
      <c r="E820">
        <v>1</v>
      </c>
      <c r="F820" s="1">
        <v>25.52</v>
      </c>
      <c r="G820">
        <v>0</v>
      </c>
      <c r="H820" s="1">
        <v>0</v>
      </c>
      <c r="I820" s="1">
        <v>0</v>
      </c>
      <c r="J820" s="1">
        <v>25.52</v>
      </c>
      <c r="K820" s="1">
        <v>2.58</v>
      </c>
      <c r="L820" s="1">
        <v>28.1</v>
      </c>
      <c r="M820">
        <v>1</v>
      </c>
    </row>
    <row r="821" spans="1:13" x14ac:dyDescent="0.2">
      <c r="A821" t="s">
        <v>397</v>
      </c>
      <c r="B821" t="s">
        <v>14</v>
      </c>
      <c r="C821">
        <v>9352218000862</v>
      </c>
      <c r="D821" t="s">
        <v>163</v>
      </c>
      <c r="E821">
        <v>2</v>
      </c>
      <c r="F821" s="1">
        <v>33.79</v>
      </c>
      <c r="G821">
        <v>0</v>
      </c>
      <c r="H821" s="1">
        <v>0</v>
      </c>
      <c r="I821" s="1">
        <v>0</v>
      </c>
      <c r="J821" s="1">
        <v>33.79</v>
      </c>
      <c r="K821" s="1">
        <v>3.41</v>
      </c>
      <c r="L821" s="1">
        <v>37.200000000000003</v>
      </c>
      <c r="M821">
        <v>2</v>
      </c>
    </row>
    <row r="822" spans="1:13" x14ac:dyDescent="0.2">
      <c r="A822" t="s">
        <v>894</v>
      </c>
      <c r="B822" t="s">
        <v>14</v>
      </c>
      <c r="C822">
        <v>9352218000046</v>
      </c>
      <c r="D822" t="s">
        <v>163</v>
      </c>
      <c r="E822">
        <v>1</v>
      </c>
      <c r="F822" s="1">
        <v>18.21</v>
      </c>
      <c r="G822">
        <v>0</v>
      </c>
      <c r="H822" s="1">
        <v>0</v>
      </c>
      <c r="I822" s="1">
        <v>0</v>
      </c>
      <c r="J822" s="1">
        <v>18.21</v>
      </c>
      <c r="K822" s="1">
        <v>1.84</v>
      </c>
      <c r="L822" s="1">
        <v>20.05</v>
      </c>
      <c r="M822">
        <v>1</v>
      </c>
    </row>
    <row r="823" spans="1:13" x14ac:dyDescent="0.2">
      <c r="A823" t="s">
        <v>1233</v>
      </c>
      <c r="B823" t="s">
        <v>14</v>
      </c>
      <c r="C823">
        <v>8016867009928</v>
      </c>
      <c r="D823" t="s">
        <v>163</v>
      </c>
      <c r="E823">
        <v>2</v>
      </c>
      <c r="F823" s="1">
        <v>17</v>
      </c>
      <c r="G823">
        <v>0</v>
      </c>
      <c r="H823" s="1">
        <v>0</v>
      </c>
      <c r="I823" s="1">
        <v>0</v>
      </c>
      <c r="J823" s="1">
        <v>17</v>
      </c>
      <c r="K823" s="1">
        <v>0</v>
      </c>
      <c r="L823" s="1">
        <v>17</v>
      </c>
      <c r="M823">
        <v>2</v>
      </c>
    </row>
    <row r="824" spans="1:13" x14ac:dyDescent="0.2">
      <c r="A824" t="s">
        <v>1234</v>
      </c>
      <c r="B824" t="s">
        <v>14</v>
      </c>
      <c r="C824">
        <v>785034317491</v>
      </c>
      <c r="D824" t="s">
        <v>163</v>
      </c>
      <c r="E824">
        <v>1</v>
      </c>
      <c r="F824" s="1">
        <v>9.0299999999999994</v>
      </c>
      <c r="G824">
        <v>0</v>
      </c>
      <c r="H824" s="1">
        <v>0</v>
      </c>
      <c r="I824" s="1">
        <v>0</v>
      </c>
      <c r="J824" s="1">
        <v>9.0299999999999994</v>
      </c>
      <c r="K824" s="1">
        <v>0.92</v>
      </c>
      <c r="L824" s="1">
        <v>9.9499999999999993</v>
      </c>
      <c r="M824">
        <v>1</v>
      </c>
    </row>
    <row r="825" spans="1:13" x14ac:dyDescent="0.2">
      <c r="A825" t="s">
        <v>1235</v>
      </c>
      <c r="B825" t="s">
        <v>14</v>
      </c>
      <c r="C825">
        <v>9309002269004</v>
      </c>
      <c r="D825" t="s">
        <v>163</v>
      </c>
      <c r="E825">
        <v>1</v>
      </c>
      <c r="F825" s="1">
        <v>26.3</v>
      </c>
      <c r="G825">
        <v>0</v>
      </c>
      <c r="H825" s="1">
        <v>0</v>
      </c>
      <c r="I825" s="1">
        <v>-2.63</v>
      </c>
      <c r="J825" s="1">
        <v>23.67</v>
      </c>
      <c r="K825" s="1">
        <v>2.4</v>
      </c>
      <c r="L825" s="1">
        <v>26.07</v>
      </c>
      <c r="M825">
        <v>1</v>
      </c>
    </row>
    <row r="826" spans="1:13" x14ac:dyDescent="0.2">
      <c r="A826" t="s">
        <v>1236</v>
      </c>
      <c r="B826" t="s">
        <v>14</v>
      </c>
      <c r="C826">
        <v>9309002269066</v>
      </c>
      <c r="D826" t="s">
        <v>163</v>
      </c>
      <c r="E826">
        <v>1</v>
      </c>
      <c r="F826" s="1">
        <v>26.07</v>
      </c>
      <c r="G826">
        <v>0</v>
      </c>
      <c r="H826" s="1">
        <v>0</v>
      </c>
      <c r="I826" s="1">
        <v>0</v>
      </c>
      <c r="J826" s="1">
        <v>26.07</v>
      </c>
      <c r="K826" s="1">
        <v>2.63</v>
      </c>
      <c r="L826" s="1">
        <v>28.7</v>
      </c>
      <c r="M826">
        <v>1</v>
      </c>
    </row>
    <row r="827" spans="1:13" x14ac:dyDescent="0.2">
      <c r="A827" t="s">
        <v>1237</v>
      </c>
      <c r="B827" t="s">
        <v>14</v>
      </c>
      <c r="C827">
        <v>9309002269080</v>
      </c>
      <c r="D827" t="s">
        <v>163</v>
      </c>
      <c r="E827">
        <v>1</v>
      </c>
      <c r="F827" s="1">
        <v>26.06</v>
      </c>
      <c r="G827">
        <v>0</v>
      </c>
      <c r="H827" s="1">
        <v>0</v>
      </c>
      <c r="I827" s="1">
        <v>0</v>
      </c>
      <c r="J827" s="1">
        <v>26.06</v>
      </c>
      <c r="K827" s="1">
        <v>2.64</v>
      </c>
      <c r="L827" s="1">
        <v>28.7</v>
      </c>
      <c r="M827">
        <v>1</v>
      </c>
    </row>
    <row r="828" spans="1:13" x14ac:dyDescent="0.2">
      <c r="A828" t="s">
        <v>1238</v>
      </c>
      <c r="B828" t="s">
        <v>14</v>
      </c>
      <c r="C828">
        <v>9369900018418</v>
      </c>
      <c r="D828" t="s">
        <v>163</v>
      </c>
      <c r="E828">
        <v>1</v>
      </c>
      <c r="F828" s="1">
        <v>31.8</v>
      </c>
      <c r="G828">
        <v>0</v>
      </c>
      <c r="H828" s="1">
        <v>0</v>
      </c>
      <c r="I828" s="1">
        <v>0</v>
      </c>
      <c r="J828" s="1">
        <v>31.8</v>
      </c>
      <c r="K828" s="1">
        <v>0</v>
      </c>
      <c r="L828" s="1">
        <v>31.8</v>
      </c>
      <c r="M828">
        <v>1</v>
      </c>
    </row>
    <row r="829" spans="1:13" x14ac:dyDescent="0.2">
      <c r="A829" t="s">
        <v>1239</v>
      </c>
      <c r="B829" t="s">
        <v>14</v>
      </c>
      <c r="C829">
        <v>9369999341930</v>
      </c>
      <c r="D829" t="s">
        <v>163</v>
      </c>
      <c r="E829">
        <v>1</v>
      </c>
      <c r="F829" s="1">
        <v>28.6</v>
      </c>
      <c r="G829">
        <v>0</v>
      </c>
      <c r="H829" s="1">
        <v>0</v>
      </c>
      <c r="I829" s="1">
        <v>0</v>
      </c>
      <c r="J829" s="1">
        <v>28.6</v>
      </c>
      <c r="K829" s="1">
        <v>0</v>
      </c>
      <c r="L829" s="1">
        <v>28.6</v>
      </c>
      <c r="M829">
        <v>1</v>
      </c>
    </row>
    <row r="830" spans="1:13" x14ac:dyDescent="0.2">
      <c r="A830" t="s">
        <v>1240</v>
      </c>
      <c r="B830" t="s">
        <v>14</v>
      </c>
      <c r="C830">
        <v>9342121000004</v>
      </c>
      <c r="D830" t="s">
        <v>163</v>
      </c>
      <c r="E830">
        <v>2</v>
      </c>
      <c r="F830" s="1">
        <v>47.49</v>
      </c>
      <c r="G830">
        <v>0</v>
      </c>
      <c r="H830" s="1">
        <v>0</v>
      </c>
      <c r="I830" s="1">
        <v>-3.88</v>
      </c>
      <c r="J830" s="1">
        <v>43.61</v>
      </c>
      <c r="K830" s="1">
        <v>4.41</v>
      </c>
      <c r="L830" s="1">
        <v>48.02</v>
      </c>
      <c r="M830">
        <v>2</v>
      </c>
    </row>
    <row r="831" spans="1:13" x14ac:dyDescent="0.2">
      <c r="A831" t="s">
        <v>1241</v>
      </c>
      <c r="B831" t="s">
        <v>14</v>
      </c>
      <c r="C831">
        <v>9350771002576</v>
      </c>
      <c r="D831" t="s">
        <v>163</v>
      </c>
      <c r="E831">
        <v>1</v>
      </c>
      <c r="F831" s="1">
        <v>35.78</v>
      </c>
      <c r="G831">
        <v>0</v>
      </c>
      <c r="H831" s="1">
        <v>0</v>
      </c>
      <c r="I831" s="1">
        <v>0</v>
      </c>
      <c r="J831" s="1">
        <v>35.78</v>
      </c>
      <c r="K831" s="1">
        <v>3.62</v>
      </c>
      <c r="L831" s="1">
        <v>39.4</v>
      </c>
      <c r="M831">
        <v>1</v>
      </c>
    </row>
    <row r="832" spans="1:13" x14ac:dyDescent="0.2">
      <c r="A832" t="s">
        <v>1242</v>
      </c>
      <c r="B832" t="s">
        <v>14</v>
      </c>
      <c r="C832">
        <v>9369998510207</v>
      </c>
      <c r="D832" t="s">
        <v>163</v>
      </c>
      <c r="E832">
        <v>1</v>
      </c>
      <c r="F832" s="1">
        <v>46.82</v>
      </c>
      <c r="G832">
        <v>0</v>
      </c>
      <c r="H832" s="1">
        <v>0</v>
      </c>
      <c r="I832" s="1">
        <v>0</v>
      </c>
      <c r="J832" s="1">
        <v>46.82</v>
      </c>
      <c r="K832" s="1">
        <v>4.68</v>
      </c>
      <c r="L832" s="1">
        <v>51.5</v>
      </c>
      <c r="M832">
        <v>1</v>
      </c>
    </row>
    <row r="833" spans="1:13" x14ac:dyDescent="0.2">
      <c r="A833" t="s">
        <v>1243</v>
      </c>
      <c r="B833" t="s">
        <v>14</v>
      </c>
      <c r="C833">
        <v>9369900027816</v>
      </c>
      <c r="D833" t="s">
        <v>163</v>
      </c>
      <c r="E833">
        <v>1</v>
      </c>
      <c r="F833" s="1">
        <v>46.77</v>
      </c>
      <c r="G833">
        <v>0</v>
      </c>
      <c r="H833" s="1">
        <v>0</v>
      </c>
      <c r="I833" s="1">
        <v>0</v>
      </c>
      <c r="J833" s="1">
        <v>46.77</v>
      </c>
      <c r="K833" s="1">
        <v>4.7300000000000004</v>
      </c>
      <c r="L833" s="1">
        <v>51.5</v>
      </c>
      <c r="M833">
        <v>1</v>
      </c>
    </row>
    <row r="834" spans="1:13" x14ac:dyDescent="0.2">
      <c r="A834" t="s">
        <v>1244</v>
      </c>
      <c r="B834" t="s">
        <v>14</v>
      </c>
      <c r="D834" t="s">
        <v>163</v>
      </c>
      <c r="E834">
        <v>1</v>
      </c>
      <c r="F834" s="1">
        <v>25.95</v>
      </c>
      <c r="G834">
        <v>0</v>
      </c>
      <c r="H834" s="1">
        <v>0</v>
      </c>
      <c r="I834" s="1">
        <v>0</v>
      </c>
      <c r="J834" s="1">
        <v>25.95</v>
      </c>
      <c r="K834" s="1">
        <v>0</v>
      </c>
      <c r="L834" s="1">
        <v>25.95</v>
      </c>
      <c r="M834">
        <v>1</v>
      </c>
    </row>
    <row r="835" spans="1:13" x14ac:dyDescent="0.2">
      <c r="A835" t="s">
        <v>1245</v>
      </c>
      <c r="B835" t="s">
        <v>14</v>
      </c>
      <c r="C835">
        <v>746092298047</v>
      </c>
      <c r="D835" t="s">
        <v>163</v>
      </c>
      <c r="E835">
        <v>2</v>
      </c>
      <c r="F835" s="1">
        <v>32.950000000000003</v>
      </c>
      <c r="G835">
        <v>0</v>
      </c>
      <c r="H835" s="1">
        <v>0</v>
      </c>
      <c r="I835" s="1">
        <v>-2.65</v>
      </c>
      <c r="J835" s="1">
        <v>30.3</v>
      </c>
      <c r="K835" s="1">
        <v>3.05</v>
      </c>
      <c r="L835" s="1">
        <v>33.35</v>
      </c>
      <c r="M835">
        <v>2</v>
      </c>
    </row>
    <row r="836" spans="1:13" x14ac:dyDescent="0.2">
      <c r="A836" t="s">
        <v>1246</v>
      </c>
      <c r="B836" t="s">
        <v>14</v>
      </c>
      <c r="C836">
        <v>731722043432</v>
      </c>
      <c r="D836" t="s">
        <v>163</v>
      </c>
      <c r="E836">
        <v>1</v>
      </c>
      <c r="F836" s="1">
        <v>26.02</v>
      </c>
      <c r="G836">
        <v>0</v>
      </c>
      <c r="H836" s="1">
        <v>0</v>
      </c>
      <c r="I836" s="1">
        <v>0</v>
      </c>
      <c r="J836" s="1">
        <v>26.02</v>
      </c>
      <c r="K836" s="1">
        <v>2.63</v>
      </c>
      <c r="L836" s="1">
        <v>28.65</v>
      </c>
      <c r="M836">
        <v>1</v>
      </c>
    </row>
    <row r="837" spans="1:13" x14ac:dyDescent="0.2">
      <c r="A837" t="s">
        <v>1247</v>
      </c>
      <c r="B837" t="s">
        <v>14</v>
      </c>
      <c r="C837">
        <v>7611916153600</v>
      </c>
      <c r="D837" t="s">
        <v>163</v>
      </c>
      <c r="E837">
        <v>1</v>
      </c>
      <c r="F837" s="1">
        <v>19.89</v>
      </c>
      <c r="G837">
        <v>0</v>
      </c>
      <c r="H837" s="1">
        <v>0</v>
      </c>
      <c r="I837" s="1">
        <v>0</v>
      </c>
      <c r="J837" s="1">
        <v>19.89</v>
      </c>
      <c r="K837" s="1">
        <v>2.0099999999999998</v>
      </c>
      <c r="L837" s="1">
        <v>21.9</v>
      </c>
      <c r="M837">
        <v>1</v>
      </c>
    </row>
    <row r="838" spans="1:13" x14ac:dyDescent="0.2">
      <c r="A838" t="s">
        <v>1248</v>
      </c>
      <c r="B838" t="s">
        <v>14</v>
      </c>
      <c r="C838">
        <v>4001638530248</v>
      </c>
      <c r="D838" t="s">
        <v>163</v>
      </c>
      <c r="E838">
        <v>1</v>
      </c>
      <c r="F838" s="1">
        <v>16.89</v>
      </c>
      <c r="G838">
        <v>0</v>
      </c>
      <c r="H838" s="1">
        <v>0</v>
      </c>
      <c r="I838" s="1">
        <v>0</v>
      </c>
      <c r="J838" s="1">
        <v>16.89</v>
      </c>
      <c r="K838" s="1">
        <v>1.71</v>
      </c>
      <c r="L838" s="1">
        <v>18.600000000000001</v>
      </c>
      <c r="M838">
        <v>1</v>
      </c>
    </row>
    <row r="839" spans="1:13" x14ac:dyDescent="0.2">
      <c r="A839" t="s">
        <v>1249</v>
      </c>
      <c r="B839" t="s">
        <v>14</v>
      </c>
      <c r="C839">
        <v>4001638501491</v>
      </c>
      <c r="D839" t="s">
        <v>163</v>
      </c>
      <c r="E839">
        <v>1</v>
      </c>
      <c r="F839" s="1">
        <v>29.83</v>
      </c>
      <c r="G839">
        <v>0</v>
      </c>
      <c r="H839" s="1">
        <v>0</v>
      </c>
      <c r="I839" s="1">
        <v>0</v>
      </c>
      <c r="J839" s="1">
        <v>29.83</v>
      </c>
      <c r="K839" s="1">
        <v>3.02</v>
      </c>
      <c r="L839" s="1">
        <v>32.85</v>
      </c>
      <c r="M839">
        <v>1</v>
      </c>
    </row>
    <row r="840" spans="1:13" x14ac:dyDescent="0.2">
      <c r="A840" t="s">
        <v>1250</v>
      </c>
      <c r="B840" t="s">
        <v>14</v>
      </c>
      <c r="C840">
        <v>4001638501989</v>
      </c>
      <c r="D840" t="s">
        <v>163</v>
      </c>
      <c r="E840">
        <v>1</v>
      </c>
      <c r="F840" s="1">
        <v>12.89</v>
      </c>
      <c r="G840">
        <v>0</v>
      </c>
      <c r="H840" s="1">
        <v>0</v>
      </c>
      <c r="I840" s="1">
        <v>0</v>
      </c>
      <c r="J840" s="1">
        <v>12.89</v>
      </c>
      <c r="K840" s="1">
        <v>1.31</v>
      </c>
      <c r="L840" s="1">
        <v>14.2</v>
      </c>
      <c r="M840">
        <v>1</v>
      </c>
    </row>
    <row r="841" spans="1:13" x14ac:dyDescent="0.2">
      <c r="A841" t="s">
        <v>1251</v>
      </c>
      <c r="B841" t="s">
        <v>14</v>
      </c>
      <c r="C841">
        <v>9349096000138</v>
      </c>
      <c r="D841" t="s">
        <v>290</v>
      </c>
      <c r="E841">
        <v>1</v>
      </c>
      <c r="F841" s="1">
        <v>22.93</v>
      </c>
      <c r="G841">
        <v>0</v>
      </c>
      <c r="H841" s="1">
        <v>0</v>
      </c>
      <c r="I841" s="1">
        <v>0</v>
      </c>
      <c r="J841" s="1">
        <v>22.93</v>
      </c>
      <c r="K841" s="1">
        <v>2.3199999999999998</v>
      </c>
      <c r="L841" s="1">
        <v>25.25</v>
      </c>
      <c r="M841">
        <v>1</v>
      </c>
    </row>
    <row r="842" spans="1:13" x14ac:dyDescent="0.2">
      <c r="A842" t="s">
        <v>579</v>
      </c>
      <c r="B842" t="s">
        <v>14</v>
      </c>
      <c r="C842">
        <v>9359866000282</v>
      </c>
      <c r="D842" t="s">
        <v>290</v>
      </c>
      <c r="E842">
        <v>1</v>
      </c>
      <c r="F842" s="1">
        <v>24.02</v>
      </c>
      <c r="G842">
        <v>0</v>
      </c>
      <c r="H842" s="1">
        <v>0</v>
      </c>
      <c r="I842" s="1">
        <v>0</v>
      </c>
      <c r="J842" s="1">
        <v>24.02</v>
      </c>
      <c r="K842" s="1">
        <v>2.4300000000000002</v>
      </c>
      <c r="L842" s="1">
        <v>26.45</v>
      </c>
      <c r="M842">
        <v>1</v>
      </c>
    </row>
    <row r="843" spans="1:13" x14ac:dyDescent="0.2">
      <c r="A843" t="s">
        <v>895</v>
      </c>
      <c r="B843" t="s">
        <v>14</v>
      </c>
      <c r="C843">
        <v>9316131505699</v>
      </c>
      <c r="D843" t="s">
        <v>164</v>
      </c>
      <c r="E843">
        <v>1</v>
      </c>
      <c r="F843" s="1">
        <v>5.85</v>
      </c>
      <c r="G843">
        <v>0</v>
      </c>
      <c r="H843" s="1">
        <v>0</v>
      </c>
      <c r="I843" s="1">
        <v>0</v>
      </c>
      <c r="J843" s="1">
        <v>5.85</v>
      </c>
      <c r="K843" s="1">
        <v>0</v>
      </c>
      <c r="L843" s="1">
        <v>5.85</v>
      </c>
      <c r="M843">
        <v>1</v>
      </c>
    </row>
    <row r="844" spans="1:13" x14ac:dyDescent="0.2">
      <c r="A844" t="s">
        <v>896</v>
      </c>
      <c r="B844" t="s">
        <v>14</v>
      </c>
      <c r="C844">
        <v>9316131608192</v>
      </c>
      <c r="D844" t="s">
        <v>164</v>
      </c>
      <c r="E844">
        <v>4</v>
      </c>
      <c r="F844" s="1">
        <v>37.6</v>
      </c>
      <c r="G844">
        <v>0</v>
      </c>
      <c r="H844" s="1">
        <v>0</v>
      </c>
      <c r="I844" s="1">
        <v>-3.12</v>
      </c>
      <c r="J844" s="1">
        <v>34.479999999999997</v>
      </c>
      <c r="K844" s="1">
        <v>0</v>
      </c>
      <c r="L844" s="1">
        <v>34.479999999999997</v>
      </c>
      <c r="M844">
        <v>4</v>
      </c>
    </row>
    <row r="845" spans="1:13" x14ac:dyDescent="0.2">
      <c r="A845" t="s">
        <v>1252</v>
      </c>
      <c r="B845" t="s">
        <v>14</v>
      </c>
      <c r="C845">
        <v>9415748017400</v>
      </c>
      <c r="D845" t="s">
        <v>164</v>
      </c>
      <c r="E845">
        <v>1</v>
      </c>
      <c r="F845" s="1">
        <v>8.5500000000000007</v>
      </c>
      <c r="G845">
        <v>0</v>
      </c>
      <c r="H845" s="1">
        <v>0</v>
      </c>
      <c r="I845" s="1">
        <v>0</v>
      </c>
      <c r="J845" s="1">
        <v>8.5500000000000007</v>
      </c>
      <c r="K845" s="1">
        <v>0</v>
      </c>
      <c r="L845" s="1">
        <v>8.5500000000000007</v>
      </c>
      <c r="M845">
        <v>1</v>
      </c>
    </row>
    <row r="846" spans="1:13" x14ac:dyDescent="0.2">
      <c r="A846" t="s">
        <v>701</v>
      </c>
      <c r="B846" t="s">
        <v>14</v>
      </c>
      <c r="C846">
        <v>9415748012993</v>
      </c>
      <c r="D846" t="s">
        <v>164</v>
      </c>
      <c r="E846">
        <v>2</v>
      </c>
      <c r="F846" s="1">
        <v>25.1</v>
      </c>
      <c r="G846">
        <v>0</v>
      </c>
      <c r="H846" s="1">
        <v>0</v>
      </c>
      <c r="I846" s="1">
        <v>0</v>
      </c>
      <c r="J846" s="1">
        <v>25.1</v>
      </c>
      <c r="K846" s="1">
        <v>0</v>
      </c>
      <c r="L846" s="1">
        <v>25.1</v>
      </c>
      <c r="M846">
        <v>2</v>
      </c>
    </row>
    <row r="847" spans="1:13" x14ac:dyDescent="0.2">
      <c r="A847" t="s">
        <v>1253</v>
      </c>
      <c r="B847" t="s">
        <v>14</v>
      </c>
      <c r="C847">
        <v>9415748012986</v>
      </c>
      <c r="D847" t="s">
        <v>164</v>
      </c>
      <c r="E847">
        <v>1</v>
      </c>
      <c r="F847" s="1">
        <v>12.55</v>
      </c>
      <c r="G847">
        <v>0</v>
      </c>
      <c r="H847" s="1">
        <v>0</v>
      </c>
      <c r="I847" s="1">
        <v>-0.92</v>
      </c>
      <c r="J847" s="1">
        <v>11.63</v>
      </c>
      <c r="K847" s="1">
        <v>0</v>
      </c>
      <c r="L847" s="1">
        <v>11.63</v>
      </c>
      <c r="M847">
        <v>1</v>
      </c>
    </row>
    <row r="848" spans="1:13" x14ac:dyDescent="0.2">
      <c r="A848" t="s">
        <v>1254</v>
      </c>
      <c r="B848" t="s">
        <v>14</v>
      </c>
      <c r="C848">
        <v>9421035970495</v>
      </c>
      <c r="D848" t="s">
        <v>164</v>
      </c>
      <c r="E848">
        <v>1</v>
      </c>
      <c r="F848" s="1">
        <v>5.7</v>
      </c>
      <c r="G848">
        <v>0</v>
      </c>
      <c r="H848" s="1">
        <v>0</v>
      </c>
      <c r="I848" s="1">
        <v>0</v>
      </c>
      <c r="J848" s="1">
        <v>5.7</v>
      </c>
      <c r="K848" s="1">
        <v>0</v>
      </c>
      <c r="L848" s="1">
        <v>5.7</v>
      </c>
      <c r="M848">
        <v>1</v>
      </c>
    </row>
    <row r="849" spans="1:13" x14ac:dyDescent="0.2">
      <c r="A849" t="s">
        <v>1255</v>
      </c>
      <c r="B849" t="s">
        <v>14</v>
      </c>
      <c r="C849">
        <v>9421035972598</v>
      </c>
      <c r="D849" t="s">
        <v>164</v>
      </c>
      <c r="E849">
        <v>1</v>
      </c>
      <c r="F849" s="1">
        <v>7.72</v>
      </c>
      <c r="G849">
        <v>0</v>
      </c>
      <c r="H849" s="1">
        <v>0</v>
      </c>
      <c r="I849" s="1">
        <v>0</v>
      </c>
      <c r="J849" s="1">
        <v>7.72</v>
      </c>
      <c r="K849" s="1">
        <v>0.78</v>
      </c>
      <c r="L849" s="1">
        <v>8.5</v>
      </c>
      <c r="M849">
        <v>1</v>
      </c>
    </row>
    <row r="850" spans="1:13" x14ac:dyDescent="0.2">
      <c r="A850" t="s">
        <v>1256</v>
      </c>
      <c r="B850" t="s">
        <v>14</v>
      </c>
      <c r="C850">
        <v>9339337305238</v>
      </c>
      <c r="D850" t="s">
        <v>164</v>
      </c>
      <c r="E850">
        <v>1</v>
      </c>
      <c r="F850" s="1">
        <v>6.4</v>
      </c>
      <c r="G850">
        <v>0</v>
      </c>
      <c r="H850" s="1">
        <v>0</v>
      </c>
      <c r="I850" s="1">
        <v>0</v>
      </c>
      <c r="J850" s="1">
        <v>6.4</v>
      </c>
      <c r="K850" s="1">
        <v>0</v>
      </c>
      <c r="L850" s="1">
        <v>6.4</v>
      </c>
      <c r="M850">
        <v>1</v>
      </c>
    </row>
    <row r="851" spans="1:13" x14ac:dyDescent="0.2">
      <c r="A851" t="s">
        <v>1257</v>
      </c>
      <c r="B851" t="s">
        <v>14</v>
      </c>
      <c r="C851">
        <v>9339337007538</v>
      </c>
      <c r="D851" t="s">
        <v>164</v>
      </c>
      <c r="E851">
        <v>1</v>
      </c>
      <c r="F851" s="1">
        <v>4.45</v>
      </c>
      <c r="G851">
        <v>0</v>
      </c>
      <c r="H851" s="1">
        <v>0</v>
      </c>
      <c r="I851" s="1">
        <v>0</v>
      </c>
      <c r="J851" s="1">
        <v>4.45</v>
      </c>
      <c r="K851" s="1">
        <v>0</v>
      </c>
      <c r="L851" s="1">
        <v>4.45</v>
      </c>
      <c r="M851">
        <v>1</v>
      </c>
    </row>
    <row r="852" spans="1:13" x14ac:dyDescent="0.2">
      <c r="A852" t="s">
        <v>702</v>
      </c>
      <c r="B852" t="s">
        <v>14</v>
      </c>
      <c r="C852">
        <v>9339337305214</v>
      </c>
      <c r="D852" t="s">
        <v>164</v>
      </c>
      <c r="E852">
        <v>1</v>
      </c>
      <c r="F852" s="1">
        <v>6.4</v>
      </c>
      <c r="G852">
        <v>0</v>
      </c>
      <c r="H852" s="1">
        <v>0</v>
      </c>
      <c r="I852" s="1">
        <v>0</v>
      </c>
      <c r="J852" s="1">
        <v>6.4</v>
      </c>
      <c r="K852" s="1">
        <v>0</v>
      </c>
      <c r="L852" s="1">
        <v>6.4</v>
      </c>
      <c r="M852">
        <v>1</v>
      </c>
    </row>
    <row r="853" spans="1:13" x14ac:dyDescent="0.2">
      <c r="A853" t="s">
        <v>897</v>
      </c>
      <c r="B853" t="s">
        <v>14</v>
      </c>
      <c r="C853">
        <v>9339337307133</v>
      </c>
      <c r="D853" t="s">
        <v>164</v>
      </c>
      <c r="E853">
        <v>3</v>
      </c>
      <c r="F853" s="1">
        <v>15.9</v>
      </c>
      <c r="G853">
        <v>0</v>
      </c>
      <c r="H853" s="1">
        <v>0</v>
      </c>
      <c r="I853" s="1">
        <v>0</v>
      </c>
      <c r="J853" s="1">
        <v>15.9</v>
      </c>
      <c r="K853" s="1">
        <v>0</v>
      </c>
      <c r="L853" s="1">
        <v>15.9</v>
      </c>
      <c r="M853">
        <v>3</v>
      </c>
    </row>
    <row r="854" spans="1:13" x14ac:dyDescent="0.2">
      <c r="A854" t="s">
        <v>1258</v>
      </c>
      <c r="B854" t="s">
        <v>14</v>
      </c>
      <c r="C854">
        <v>9339337307140</v>
      </c>
      <c r="D854" t="s">
        <v>164</v>
      </c>
      <c r="E854">
        <v>1</v>
      </c>
      <c r="F854" s="1">
        <v>5.3</v>
      </c>
      <c r="G854">
        <v>0</v>
      </c>
      <c r="H854" s="1">
        <v>0</v>
      </c>
      <c r="I854" s="1">
        <v>0</v>
      </c>
      <c r="J854" s="1">
        <v>5.3</v>
      </c>
      <c r="K854" s="1">
        <v>0</v>
      </c>
      <c r="L854" s="1">
        <v>5.3</v>
      </c>
      <c r="M854">
        <v>1</v>
      </c>
    </row>
    <row r="855" spans="1:13" x14ac:dyDescent="0.2">
      <c r="A855" t="s">
        <v>1259</v>
      </c>
      <c r="B855" t="s">
        <v>14</v>
      </c>
      <c r="C855">
        <v>9312336030110</v>
      </c>
      <c r="D855" t="s">
        <v>164</v>
      </c>
      <c r="E855">
        <v>1</v>
      </c>
      <c r="F855" s="1">
        <v>6.8</v>
      </c>
      <c r="G855">
        <v>0</v>
      </c>
      <c r="H855" s="1">
        <v>0</v>
      </c>
      <c r="I855" s="1">
        <v>-0.6</v>
      </c>
      <c r="J855" s="1">
        <v>6.2</v>
      </c>
      <c r="K855" s="1">
        <v>0</v>
      </c>
      <c r="L855" s="1">
        <v>6.2</v>
      </c>
      <c r="M855">
        <v>1</v>
      </c>
    </row>
    <row r="856" spans="1:13" x14ac:dyDescent="0.2">
      <c r="A856" t="s">
        <v>1260</v>
      </c>
      <c r="B856" t="s">
        <v>14</v>
      </c>
      <c r="C856">
        <v>9312336025208</v>
      </c>
      <c r="D856" t="s">
        <v>164</v>
      </c>
      <c r="E856">
        <v>2</v>
      </c>
      <c r="F856" s="1">
        <v>34</v>
      </c>
      <c r="G856">
        <v>0</v>
      </c>
      <c r="H856" s="1">
        <v>0</v>
      </c>
      <c r="I856" s="1">
        <v>0</v>
      </c>
      <c r="J856" s="1">
        <v>34</v>
      </c>
      <c r="K856" s="1">
        <v>0</v>
      </c>
      <c r="L856" s="1">
        <v>34</v>
      </c>
      <c r="M856">
        <v>2</v>
      </c>
    </row>
    <row r="857" spans="1:13" x14ac:dyDescent="0.2">
      <c r="A857" t="s">
        <v>1261</v>
      </c>
      <c r="B857" t="s">
        <v>14</v>
      </c>
      <c r="C857">
        <v>9329878002147</v>
      </c>
      <c r="D857" t="s">
        <v>165</v>
      </c>
      <c r="E857">
        <v>6</v>
      </c>
      <c r="F857" s="1">
        <v>39.299999999999997</v>
      </c>
      <c r="G857">
        <v>0</v>
      </c>
      <c r="H857" s="1">
        <v>0</v>
      </c>
      <c r="I857" s="1">
        <v>-0.42</v>
      </c>
      <c r="J857" s="1">
        <v>38.880000000000003</v>
      </c>
      <c r="K857" s="1">
        <v>0</v>
      </c>
      <c r="L857" s="1">
        <v>38.880000000000003</v>
      </c>
      <c r="M857">
        <v>6</v>
      </c>
    </row>
    <row r="858" spans="1:13" x14ac:dyDescent="0.2">
      <c r="A858" t="s">
        <v>166</v>
      </c>
      <c r="B858" t="s">
        <v>14</v>
      </c>
      <c r="C858">
        <v>9329878002130</v>
      </c>
      <c r="D858" t="s">
        <v>165</v>
      </c>
      <c r="E858">
        <v>8</v>
      </c>
      <c r="F858" s="1">
        <v>52.2</v>
      </c>
      <c r="G858">
        <v>0</v>
      </c>
      <c r="H858" s="1">
        <v>0</v>
      </c>
      <c r="I858" s="1">
        <v>-0.62</v>
      </c>
      <c r="J858" s="1">
        <v>51.58</v>
      </c>
      <c r="K858" s="1">
        <v>0</v>
      </c>
      <c r="L858" s="1">
        <v>51.58</v>
      </c>
      <c r="M858">
        <v>8</v>
      </c>
    </row>
    <row r="859" spans="1:13" x14ac:dyDescent="0.2">
      <c r="A859" t="s">
        <v>433</v>
      </c>
      <c r="B859" t="s">
        <v>14</v>
      </c>
      <c r="C859">
        <v>9329878007104</v>
      </c>
      <c r="D859" t="s">
        <v>165</v>
      </c>
      <c r="E859">
        <v>4</v>
      </c>
      <c r="F859" s="1">
        <v>26.7</v>
      </c>
      <c r="G859">
        <v>0</v>
      </c>
      <c r="H859" s="1">
        <v>0</v>
      </c>
      <c r="I859" s="1">
        <v>-1.56</v>
      </c>
      <c r="J859" s="1">
        <v>25.14</v>
      </c>
      <c r="K859" s="1">
        <v>0</v>
      </c>
      <c r="L859" s="1">
        <v>25.14</v>
      </c>
      <c r="M859">
        <v>4</v>
      </c>
    </row>
    <row r="860" spans="1:13" x14ac:dyDescent="0.2">
      <c r="A860" t="s">
        <v>167</v>
      </c>
      <c r="B860" t="s">
        <v>14</v>
      </c>
      <c r="C860">
        <v>9329878002383</v>
      </c>
      <c r="D860" t="s">
        <v>165</v>
      </c>
      <c r="E860">
        <v>3</v>
      </c>
      <c r="F860" s="1">
        <v>19.350000000000001</v>
      </c>
      <c r="G860">
        <v>0</v>
      </c>
      <c r="H860" s="1">
        <v>0</v>
      </c>
      <c r="I860" s="1">
        <v>-1.42</v>
      </c>
      <c r="J860" s="1">
        <v>17.93</v>
      </c>
      <c r="K860" s="1">
        <v>0</v>
      </c>
      <c r="L860" s="1">
        <v>17.93</v>
      </c>
      <c r="M860">
        <v>3</v>
      </c>
    </row>
    <row r="861" spans="1:13" x14ac:dyDescent="0.2">
      <c r="A861" t="s">
        <v>1262</v>
      </c>
      <c r="B861" t="s">
        <v>14</v>
      </c>
      <c r="C861">
        <v>9316131104403</v>
      </c>
      <c r="D861" t="s">
        <v>165</v>
      </c>
      <c r="E861">
        <v>5</v>
      </c>
      <c r="F861" s="1">
        <v>32</v>
      </c>
      <c r="G861">
        <v>0</v>
      </c>
      <c r="H861" s="1">
        <v>0</v>
      </c>
      <c r="I861" s="1">
        <v>-0.28999999999999998</v>
      </c>
      <c r="J861" s="1">
        <v>31.71</v>
      </c>
      <c r="K861" s="1">
        <v>0</v>
      </c>
      <c r="L861" s="1">
        <v>31.71</v>
      </c>
      <c r="M861">
        <v>5</v>
      </c>
    </row>
    <row r="862" spans="1:13" x14ac:dyDescent="0.2">
      <c r="A862" t="s">
        <v>398</v>
      </c>
      <c r="B862" t="s">
        <v>14</v>
      </c>
      <c r="C862">
        <v>200911000001</v>
      </c>
      <c r="D862" t="s">
        <v>168</v>
      </c>
      <c r="E862">
        <v>15</v>
      </c>
      <c r="F862" s="1">
        <v>520.51</v>
      </c>
      <c r="G862">
        <v>0</v>
      </c>
      <c r="H862" s="1">
        <v>0</v>
      </c>
      <c r="I862" s="1">
        <v>-12.23</v>
      </c>
      <c r="J862" s="1">
        <v>508.28</v>
      </c>
      <c r="K862" s="1">
        <v>0</v>
      </c>
      <c r="L862" s="1">
        <v>508.28</v>
      </c>
      <c r="M862">
        <v>3.4020000000000001</v>
      </c>
    </row>
    <row r="863" spans="1:13" x14ac:dyDescent="0.2">
      <c r="A863" t="s">
        <v>489</v>
      </c>
      <c r="B863" t="s">
        <v>14</v>
      </c>
      <c r="D863" t="s">
        <v>168</v>
      </c>
      <c r="E863">
        <v>3</v>
      </c>
      <c r="F863" s="1">
        <v>83.27</v>
      </c>
      <c r="G863">
        <v>0</v>
      </c>
      <c r="H863" s="1">
        <v>0</v>
      </c>
      <c r="I863" s="1">
        <v>0</v>
      </c>
      <c r="J863" s="1">
        <v>83.27</v>
      </c>
      <c r="K863" s="1">
        <v>0</v>
      </c>
      <c r="L863" s="1">
        <v>83.27</v>
      </c>
      <c r="M863">
        <v>0.71199999999999997</v>
      </c>
    </row>
    <row r="864" spans="1:13" x14ac:dyDescent="0.2">
      <c r="A864" t="s">
        <v>580</v>
      </c>
      <c r="B864" t="s">
        <v>14</v>
      </c>
      <c r="C864">
        <v>9309002258077</v>
      </c>
      <c r="D864" t="s">
        <v>168</v>
      </c>
      <c r="E864">
        <v>4</v>
      </c>
      <c r="F864" s="1">
        <v>21.8</v>
      </c>
      <c r="G864">
        <v>0</v>
      </c>
      <c r="H864" s="1">
        <v>0</v>
      </c>
      <c r="I864" s="1">
        <v>0</v>
      </c>
      <c r="J864" s="1">
        <v>21.8</v>
      </c>
      <c r="K864" s="1">
        <v>0</v>
      </c>
      <c r="L864" s="1">
        <v>21.8</v>
      </c>
      <c r="M864">
        <v>4</v>
      </c>
    </row>
    <row r="865" spans="1:13" x14ac:dyDescent="0.2">
      <c r="A865" t="s">
        <v>169</v>
      </c>
      <c r="B865" t="s">
        <v>14</v>
      </c>
      <c r="C865">
        <v>9300462531007</v>
      </c>
      <c r="D865" t="s">
        <v>168</v>
      </c>
      <c r="E865">
        <v>23</v>
      </c>
      <c r="F865" s="1">
        <v>263.35000000000002</v>
      </c>
      <c r="G865">
        <v>0</v>
      </c>
      <c r="H865" s="1">
        <v>0</v>
      </c>
      <c r="I865" s="1">
        <v>-15.3</v>
      </c>
      <c r="J865" s="1">
        <v>248.05</v>
      </c>
      <c r="K865" s="1">
        <v>0</v>
      </c>
      <c r="L865" s="1">
        <v>248.05</v>
      </c>
      <c r="M865">
        <v>23</v>
      </c>
    </row>
    <row r="866" spans="1:13" x14ac:dyDescent="0.2">
      <c r="A866" t="s">
        <v>703</v>
      </c>
      <c r="B866" t="s">
        <v>14</v>
      </c>
      <c r="C866">
        <v>9336595001056</v>
      </c>
      <c r="D866" t="s">
        <v>168</v>
      </c>
      <c r="E866">
        <v>1</v>
      </c>
      <c r="F866" s="1">
        <v>6.55</v>
      </c>
      <c r="G866">
        <v>0</v>
      </c>
      <c r="H866" s="1">
        <v>0</v>
      </c>
      <c r="I866" s="1">
        <v>0</v>
      </c>
      <c r="J866" s="1">
        <v>6.55</v>
      </c>
      <c r="K866" s="1">
        <v>0</v>
      </c>
      <c r="L866" s="1">
        <v>6.55</v>
      </c>
      <c r="M866">
        <v>1</v>
      </c>
    </row>
    <row r="867" spans="1:13" x14ac:dyDescent="0.2">
      <c r="A867" t="s">
        <v>1263</v>
      </c>
      <c r="B867" t="s">
        <v>14</v>
      </c>
      <c r="C867">
        <v>9336595001032</v>
      </c>
      <c r="D867" t="s">
        <v>168</v>
      </c>
      <c r="E867">
        <v>1</v>
      </c>
      <c r="F867" s="1">
        <v>13.85</v>
      </c>
      <c r="G867">
        <v>0</v>
      </c>
      <c r="H867" s="1">
        <v>0</v>
      </c>
      <c r="I867" s="1">
        <v>0</v>
      </c>
      <c r="J867" s="1">
        <v>13.85</v>
      </c>
      <c r="K867" s="1">
        <v>0</v>
      </c>
      <c r="L867" s="1">
        <v>13.85</v>
      </c>
      <c r="M867">
        <v>1</v>
      </c>
    </row>
    <row r="868" spans="1:13" x14ac:dyDescent="0.2">
      <c r="A868" t="s">
        <v>704</v>
      </c>
      <c r="B868" t="s">
        <v>14</v>
      </c>
      <c r="C868">
        <v>9336595001049</v>
      </c>
      <c r="D868" t="s">
        <v>168</v>
      </c>
      <c r="E868">
        <v>2</v>
      </c>
      <c r="F868" s="1">
        <v>14.8</v>
      </c>
      <c r="G868">
        <v>0</v>
      </c>
      <c r="H868" s="1">
        <v>0</v>
      </c>
      <c r="I868" s="1">
        <v>-0.36</v>
      </c>
      <c r="J868" s="1">
        <v>14.44</v>
      </c>
      <c r="K868" s="1">
        <v>0</v>
      </c>
      <c r="L868" s="1">
        <v>14.44</v>
      </c>
      <c r="M868">
        <v>2</v>
      </c>
    </row>
    <row r="869" spans="1:13" x14ac:dyDescent="0.2">
      <c r="A869" t="s">
        <v>705</v>
      </c>
      <c r="B869" t="s">
        <v>14</v>
      </c>
      <c r="C869">
        <v>9336595001087</v>
      </c>
      <c r="D869" t="s">
        <v>168</v>
      </c>
      <c r="E869">
        <v>3</v>
      </c>
      <c r="F869" s="1">
        <v>35.25</v>
      </c>
      <c r="G869">
        <v>0</v>
      </c>
      <c r="H869" s="1">
        <v>0</v>
      </c>
      <c r="I869" s="1">
        <v>0</v>
      </c>
      <c r="J869" s="1">
        <v>35.25</v>
      </c>
      <c r="K869" s="1">
        <v>0</v>
      </c>
      <c r="L869" s="1">
        <v>35.25</v>
      </c>
      <c r="M869">
        <v>3</v>
      </c>
    </row>
    <row r="870" spans="1:13" x14ac:dyDescent="0.2">
      <c r="A870" t="s">
        <v>1264</v>
      </c>
      <c r="B870" t="s">
        <v>14</v>
      </c>
      <c r="C870">
        <v>9336595001063</v>
      </c>
      <c r="D870" t="s">
        <v>168</v>
      </c>
      <c r="E870">
        <v>2</v>
      </c>
      <c r="F870" s="1">
        <v>37.700000000000003</v>
      </c>
      <c r="G870">
        <v>0</v>
      </c>
      <c r="H870" s="1">
        <v>0</v>
      </c>
      <c r="I870" s="1">
        <v>0</v>
      </c>
      <c r="J870" s="1">
        <v>37.700000000000003</v>
      </c>
      <c r="K870" s="1">
        <v>0</v>
      </c>
      <c r="L870" s="1">
        <v>37.700000000000003</v>
      </c>
      <c r="M870">
        <v>2</v>
      </c>
    </row>
    <row r="871" spans="1:13" x14ac:dyDescent="0.2">
      <c r="A871" t="s">
        <v>299</v>
      </c>
      <c r="B871" t="s">
        <v>14</v>
      </c>
      <c r="C871">
        <v>9336595001070</v>
      </c>
      <c r="D871" t="s">
        <v>168</v>
      </c>
      <c r="E871">
        <v>2</v>
      </c>
      <c r="F871" s="1">
        <v>25.5</v>
      </c>
      <c r="G871">
        <v>0</v>
      </c>
      <c r="H871" s="1">
        <v>0</v>
      </c>
      <c r="I871" s="1">
        <v>0</v>
      </c>
      <c r="J871" s="1">
        <v>25.5</v>
      </c>
      <c r="K871" s="1">
        <v>0</v>
      </c>
      <c r="L871" s="1">
        <v>25.5</v>
      </c>
      <c r="M871">
        <v>2</v>
      </c>
    </row>
    <row r="872" spans="1:13" x14ac:dyDescent="0.2">
      <c r="A872" t="s">
        <v>1265</v>
      </c>
      <c r="B872" t="s">
        <v>14</v>
      </c>
      <c r="C872">
        <v>9336595001025</v>
      </c>
      <c r="D872" t="s">
        <v>168</v>
      </c>
      <c r="E872">
        <v>1</v>
      </c>
      <c r="F872" s="1">
        <v>8.75</v>
      </c>
      <c r="G872">
        <v>0</v>
      </c>
      <c r="H872" s="1">
        <v>0</v>
      </c>
      <c r="I872" s="1">
        <v>0</v>
      </c>
      <c r="J872" s="1">
        <v>8.75</v>
      </c>
      <c r="K872" s="1">
        <v>0</v>
      </c>
      <c r="L872" s="1">
        <v>8.75</v>
      </c>
      <c r="M872">
        <v>1</v>
      </c>
    </row>
    <row r="873" spans="1:13" x14ac:dyDescent="0.2">
      <c r="A873" t="s">
        <v>1266</v>
      </c>
      <c r="B873" t="s">
        <v>14</v>
      </c>
      <c r="C873">
        <v>9336595001001</v>
      </c>
      <c r="D873" t="s">
        <v>168</v>
      </c>
      <c r="E873">
        <v>1</v>
      </c>
      <c r="F873" s="1">
        <v>17.600000000000001</v>
      </c>
      <c r="G873">
        <v>0</v>
      </c>
      <c r="H873" s="1">
        <v>0</v>
      </c>
      <c r="I873" s="1">
        <v>0</v>
      </c>
      <c r="J873" s="1">
        <v>17.600000000000001</v>
      </c>
      <c r="K873" s="1">
        <v>0</v>
      </c>
      <c r="L873" s="1">
        <v>17.600000000000001</v>
      </c>
      <c r="M873">
        <v>1</v>
      </c>
    </row>
    <row r="874" spans="1:13" x14ac:dyDescent="0.2">
      <c r="A874" t="s">
        <v>1267</v>
      </c>
      <c r="B874" t="s">
        <v>14</v>
      </c>
      <c r="C874">
        <v>859480006077</v>
      </c>
      <c r="D874" t="s">
        <v>168</v>
      </c>
      <c r="E874">
        <v>1</v>
      </c>
      <c r="F874" s="1">
        <v>9.6999999999999993</v>
      </c>
      <c r="G874">
        <v>0</v>
      </c>
      <c r="H874" s="1">
        <v>0</v>
      </c>
      <c r="I874" s="1">
        <v>0</v>
      </c>
      <c r="J874" s="1">
        <v>9.6999999999999993</v>
      </c>
      <c r="K874" s="1">
        <v>0</v>
      </c>
      <c r="L874" s="1">
        <v>9.6999999999999993</v>
      </c>
      <c r="M874">
        <v>1</v>
      </c>
    </row>
    <row r="875" spans="1:13" x14ac:dyDescent="0.2">
      <c r="A875" t="s">
        <v>1268</v>
      </c>
      <c r="B875" t="s">
        <v>14</v>
      </c>
      <c r="C875">
        <v>9344081000827</v>
      </c>
      <c r="D875" t="s">
        <v>168</v>
      </c>
      <c r="E875">
        <v>1</v>
      </c>
      <c r="F875" s="1">
        <v>7</v>
      </c>
      <c r="G875">
        <v>0</v>
      </c>
      <c r="H875" s="1">
        <v>0</v>
      </c>
      <c r="I875" s="1">
        <v>-7</v>
      </c>
      <c r="J875" s="1">
        <v>0</v>
      </c>
      <c r="K875" s="1">
        <v>0</v>
      </c>
      <c r="L875" s="1">
        <v>0</v>
      </c>
      <c r="M875">
        <v>1</v>
      </c>
    </row>
    <row r="876" spans="1:13" x14ac:dyDescent="0.2">
      <c r="A876" t="s">
        <v>1269</v>
      </c>
      <c r="B876" t="s">
        <v>14</v>
      </c>
      <c r="C876">
        <v>9421035971621</v>
      </c>
      <c r="D876" t="s">
        <v>170</v>
      </c>
      <c r="E876">
        <v>1</v>
      </c>
      <c r="F876" s="1">
        <v>5.7</v>
      </c>
      <c r="G876">
        <v>0</v>
      </c>
      <c r="H876" s="1">
        <v>0</v>
      </c>
      <c r="I876" s="1">
        <v>0</v>
      </c>
      <c r="J876" s="1">
        <v>5.7</v>
      </c>
      <c r="K876" s="1">
        <v>0</v>
      </c>
      <c r="L876" s="1">
        <v>5.7</v>
      </c>
      <c r="M876">
        <v>1</v>
      </c>
    </row>
    <row r="877" spans="1:13" x14ac:dyDescent="0.2">
      <c r="A877" t="s">
        <v>898</v>
      </c>
      <c r="B877" t="s">
        <v>14</v>
      </c>
      <c r="C877">
        <v>746160012810</v>
      </c>
      <c r="D877" t="s">
        <v>170</v>
      </c>
      <c r="E877">
        <v>1</v>
      </c>
      <c r="F877" s="1">
        <v>20.399999999999999</v>
      </c>
      <c r="G877">
        <v>0</v>
      </c>
      <c r="H877" s="1">
        <v>0</v>
      </c>
      <c r="I877" s="1">
        <v>0</v>
      </c>
      <c r="J877" s="1">
        <v>20.399999999999999</v>
      </c>
      <c r="K877" s="1">
        <v>0</v>
      </c>
      <c r="L877" s="1">
        <v>20.399999999999999</v>
      </c>
      <c r="M877">
        <v>1</v>
      </c>
    </row>
    <row r="878" spans="1:13" x14ac:dyDescent="0.2">
      <c r="A878" t="s">
        <v>706</v>
      </c>
      <c r="B878" t="s">
        <v>14</v>
      </c>
      <c r="C878">
        <v>659359516177</v>
      </c>
      <c r="D878" t="s">
        <v>170</v>
      </c>
      <c r="E878">
        <v>1</v>
      </c>
      <c r="F878" s="1">
        <v>20.399999999999999</v>
      </c>
      <c r="G878">
        <v>0</v>
      </c>
      <c r="H878" s="1">
        <v>0</v>
      </c>
      <c r="I878" s="1">
        <v>0</v>
      </c>
      <c r="J878" s="1">
        <v>20.399999999999999</v>
      </c>
      <c r="K878" s="1">
        <v>0</v>
      </c>
      <c r="L878" s="1">
        <v>20.399999999999999</v>
      </c>
      <c r="M878">
        <v>1</v>
      </c>
    </row>
    <row r="879" spans="1:13" x14ac:dyDescent="0.2">
      <c r="A879" t="s">
        <v>1270</v>
      </c>
      <c r="B879" t="s">
        <v>14</v>
      </c>
      <c r="C879">
        <v>659359516214</v>
      </c>
      <c r="D879" t="s">
        <v>170</v>
      </c>
      <c r="E879">
        <v>1</v>
      </c>
      <c r="F879" s="1">
        <v>20.399999999999999</v>
      </c>
      <c r="G879">
        <v>0</v>
      </c>
      <c r="H879" s="1">
        <v>0</v>
      </c>
      <c r="I879" s="1">
        <v>-1.1200000000000001</v>
      </c>
      <c r="J879" s="1">
        <v>19.28</v>
      </c>
      <c r="K879" s="1">
        <v>0</v>
      </c>
      <c r="L879" s="1">
        <v>19.28</v>
      </c>
      <c r="M879">
        <v>1</v>
      </c>
    </row>
    <row r="880" spans="1:13" x14ac:dyDescent="0.2">
      <c r="A880" t="s">
        <v>490</v>
      </c>
      <c r="B880" t="s">
        <v>14</v>
      </c>
      <c r="C880">
        <v>9350465000093</v>
      </c>
      <c r="D880" t="s">
        <v>170</v>
      </c>
      <c r="E880">
        <v>1</v>
      </c>
      <c r="F880" s="1">
        <v>3.2</v>
      </c>
      <c r="G880">
        <v>0</v>
      </c>
      <c r="H880" s="1">
        <v>0</v>
      </c>
      <c r="I880" s="1">
        <v>0</v>
      </c>
      <c r="J880" s="1">
        <v>3.2</v>
      </c>
      <c r="K880" s="1">
        <v>0</v>
      </c>
      <c r="L880" s="1">
        <v>3.2</v>
      </c>
      <c r="M880">
        <v>1</v>
      </c>
    </row>
    <row r="881" spans="1:13" x14ac:dyDescent="0.2">
      <c r="A881" t="s">
        <v>491</v>
      </c>
      <c r="B881" t="s">
        <v>14</v>
      </c>
      <c r="C881">
        <v>9350465005012</v>
      </c>
      <c r="D881" t="s">
        <v>170</v>
      </c>
      <c r="E881">
        <v>2</v>
      </c>
      <c r="F881" s="1">
        <v>6.4</v>
      </c>
      <c r="G881">
        <v>0</v>
      </c>
      <c r="H881" s="1">
        <v>0</v>
      </c>
      <c r="I881" s="1">
        <v>-2.08</v>
      </c>
      <c r="J881" s="1">
        <v>4.32</v>
      </c>
      <c r="K881" s="1">
        <v>0</v>
      </c>
      <c r="L881" s="1">
        <v>4.32</v>
      </c>
      <c r="M881">
        <v>2</v>
      </c>
    </row>
    <row r="882" spans="1:13" x14ac:dyDescent="0.2">
      <c r="A882" t="s">
        <v>899</v>
      </c>
      <c r="B882" t="s">
        <v>14</v>
      </c>
      <c r="C882">
        <v>9350465010207</v>
      </c>
      <c r="D882" t="s">
        <v>170</v>
      </c>
      <c r="E882">
        <v>1</v>
      </c>
      <c r="F882" s="1">
        <v>3.2</v>
      </c>
      <c r="G882">
        <v>0</v>
      </c>
      <c r="H882" s="1">
        <v>0</v>
      </c>
      <c r="I882" s="1">
        <v>-0.2</v>
      </c>
      <c r="J882" s="1">
        <v>3</v>
      </c>
      <c r="K882" s="1">
        <v>0</v>
      </c>
      <c r="L882" s="1">
        <v>3</v>
      </c>
      <c r="M882">
        <v>1</v>
      </c>
    </row>
    <row r="883" spans="1:13" x14ac:dyDescent="0.2">
      <c r="A883" t="s">
        <v>1271</v>
      </c>
      <c r="B883" t="s">
        <v>14</v>
      </c>
      <c r="C883">
        <v>9350465010214</v>
      </c>
      <c r="D883" t="s">
        <v>170</v>
      </c>
      <c r="E883">
        <v>1</v>
      </c>
      <c r="F883" s="1">
        <v>3.2</v>
      </c>
      <c r="G883">
        <v>0</v>
      </c>
      <c r="H883" s="1">
        <v>0</v>
      </c>
      <c r="I883" s="1">
        <v>-0.2</v>
      </c>
      <c r="J883" s="1">
        <v>3</v>
      </c>
      <c r="K883" s="1">
        <v>0</v>
      </c>
      <c r="L883" s="1">
        <v>3</v>
      </c>
      <c r="M883">
        <v>1</v>
      </c>
    </row>
    <row r="884" spans="1:13" x14ac:dyDescent="0.2">
      <c r="A884" t="s">
        <v>581</v>
      </c>
      <c r="B884" t="s">
        <v>14</v>
      </c>
      <c r="C884">
        <v>9350465009928</v>
      </c>
      <c r="D884" t="s">
        <v>170</v>
      </c>
      <c r="E884">
        <v>3</v>
      </c>
      <c r="F884" s="1">
        <v>9.6</v>
      </c>
      <c r="G884">
        <v>0</v>
      </c>
      <c r="H884" s="1">
        <v>0</v>
      </c>
      <c r="I884" s="1">
        <v>-2.08</v>
      </c>
      <c r="J884" s="1">
        <v>7.52</v>
      </c>
      <c r="K884" s="1">
        <v>0</v>
      </c>
      <c r="L884" s="1">
        <v>7.52</v>
      </c>
      <c r="M884">
        <v>3</v>
      </c>
    </row>
    <row r="885" spans="1:13" x14ac:dyDescent="0.2">
      <c r="A885" t="s">
        <v>492</v>
      </c>
      <c r="B885" t="s">
        <v>14</v>
      </c>
      <c r="C885">
        <v>9344081000469</v>
      </c>
      <c r="D885" t="s">
        <v>170</v>
      </c>
      <c r="E885">
        <v>2</v>
      </c>
      <c r="F885" s="1">
        <v>14.6</v>
      </c>
      <c r="G885">
        <v>0</v>
      </c>
      <c r="H885" s="1">
        <v>0</v>
      </c>
      <c r="I885" s="1">
        <v>-1.47</v>
      </c>
      <c r="J885" s="1">
        <v>13.13</v>
      </c>
      <c r="K885" s="1">
        <v>0</v>
      </c>
      <c r="L885" s="1">
        <v>13.13</v>
      </c>
      <c r="M885">
        <v>2</v>
      </c>
    </row>
    <row r="886" spans="1:13" x14ac:dyDescent="0.2">
      <c r="A886" t="s">
        <v>1272</v>
      </c>
      <c r="B886" t="s">
        <v>14</v>
      </c>
      <c r="C886">
        <v>9369999935061</v>
      </c>
      <c r="D886" t="s">
        <v>170</v>
      </c>
      <c r="E886">
        <v>1</v>
      </c>
      <c r="F886" s="1">
        <v>13.2</v>
      </c>
      <c r="G886">
        <v>0</v>
      </c>
      <c r="H886" s="1">
        <v>0</v>
      </c>
      <c r="I886" s="1">
        <v>0</v>
      </c>
      <c r="J886" s="1">
        <v>13.2</v>
      </c>
      <c r="K886" s="1">
        <v>0</v>
      </c>
      <c r="L886" s="1">
        <v>13.2</v>
      </c>
      <c r="M886">
        <v>1</v>
      </c>
    </row>
    <row r="887" spans="1:13" x14ac:dyDescent="0.2">
      <c r="A887" t="s">
        <v>171</v>
      </c>
      <c r="B887" t="s">
        <v>14</v>
      </c>
      <c r="C887" t="s">
        <v>172</v>
      </c>
      <c r="D887" t="s">
        <v>173</v>
      </c>
      <c r="E887">
        <v>16</v>
      </c>
      <c r="F887" s="1">
        <v>248.59</v>
      </c>
      <c r="G887">
        <v>0</v>
      </c>
      <c r="H887" s="1">
        <v>0</v>
      </c>
      <c r="I887" s="1">
        <v>-7.5</v>
      </c>
      <c r="J887" s="1">
        <v>241.09</v>
      </c>
      <c r="K887" s="1">
        <v>4.41</v>
      </c>
      <c r="L887" s="1">
        <v>245.5</v>
      </c>
      <c r="M887">
        <v>16</v>
      </c>
    </row>
    <row r="888" spans="1:13" x14ac:dyDescent="0.2">
      <c r="A888" t="s">
        <v>174</v>
      </c>
      <c r="B888" t="s">
        <v>14</v>
      </c>
      <c r="C888" t="s">
        <v>175</v>
      </c>
      <c r="D888" t="s">
        <v>173</v>
      </c>
      <c r="E888">
        <v>18</v>
      </c>
      <c r="F888" s="1">
        <v>257.76</v>
      </c>
      <c r="G888">
        <v>0</v>
      </c>
      <c r="H888" s="1">
        <v>0</v>
      </c>
      <c r="I888" s="1">
        <v>-5.79</v>
      </c>
      <c r="J888" s="1">
        <v>251.97</v>
      </c>
      <c r="K888" s="1">
        <v>5.24</v>
      </c>
      <c r="L888" s="1">
        <v>257.20999999999998</v>
      </c>
      <c r="M888">
        <v>18</v>
      </c>
    </row>
    <row r="889" spans="1:13" x14ac:dyDescent="0.2">
      <c r="A889" t="s">
        <v>176</v>
      </c>
      <c r="B889" t="s">
        <v>14</v>
      </c>
      <c r="C889" t="s">
        <v>177</v>
      </c>
      <c r="D889" t="s">
        <v>173</v>
      </c>
      <c r="E889">
        <v>15</v>
      </c>
      <c r="F889" s="1">
        <v>227.62</v>
      </c>
      <c r="G889">
        <v>0</v>
      </c>
      <c r="H889" s="1">
        <v>0</v>
      </c>
      <c r="I889" s="1">
        <v>0</v>
      </c>
      <c r="J889" s="1">
        <v>227.62</v>
      </c>
      <c r="K889" s="1">
        <v>1.38</v>
      </c>
      <c r="L889" s="1">
        <v>229</v>
      </c>
      <c r="M889">
        <v>15</v>
      </c>
    </row>
    <row r="890" spans="1:13" x14ac:dyDescent="0.2">
      <c r="A890" t="s">
        <v>355</v>
      </c>
      <c r="B890" t="s">
        <v>14</v>
      </c>
      <c r="C890" t="s">
        <v>356</v>
      </c>
      <c r="D890" t="s">
        <v>173</v>
      </c>
      <c r="E890">
        <v>10</v>
      </c>
      <c r="F890" s="1">
        <v>156.32</v>
      </c>
      <c r="G890">
        <v>0</v>
      </c>
      <c r="H890" s="1">
        <v>0</v>
      </c>
      <c r="I890" s="1">
        <v>-13.18</v>
      </c>
      <c r="J890" s="1">
        <v>143.13999999999999</v>
      </c>
      <c r="K890" s="1">
        <v>1.18</v>
      </c>
      <c r="L890" s="1">
        <v>144.32</v>
      </c>
      <c r="M890">
        <v>10</v>
      </c>
    </row>
    <row r="891" spans="1:13" x14ac:dyDescent="0.2">
      <c r="A891" t="s">
        <v>178</v>
      </c>
      <c r="B891" t="s">
        <v>14</v>
      </c>
      <c r="C891" t="s">
        <v>179</v>
      </c>
      <c r="D891" t="s">
        <v>173</v>
      </c>
      <c r="E891">
        <v>8</v>
      </c>
      <c r="F891" s="1">
        <v>120.25</v>
      </c>
      <c r="G891">
        <v>0</v>
      </c>
      <c r="H891" s="1">
        <v>0</v>
      </c>
      <c r="I891" s="1">
        <v>0</v>
      </c>
      <c r="J891" s="1">
        <v>120.25</v>
      </c>
      <c r="K891" s="1">
        <v>2.75</v>
      </c>
      <c r="L891" s="1">
        <v>123</v>
      </c>
      <c r="M891">
        <v>8</v>
      </c>
    </row>
    <row r="892" spans="1:13" x14ac:dyDescent="0.2">
      <c r="A892" t="s">
        <v>180</v>
      </c>
      <c r="B892" t="s">
        <v>14</v>
      </c>
      <c r="C892" t="s">
        <v>181</v>
      </c>
      <c r="D892" t="s">
        <v>173</v>
      </c>
      <c r="E892">
        <v>4</v>
      </c>
      <c r="F892" s="1">
        <v>62</v>
      </c>
      <c r="G892">
        <v>0</v>
      </c>
      <c r="H892" s="1">
        <v>0</v>
      </c>
      <c r="I892" s="1">
        <v>0</v>
      </c>
      <c r="J892" s="1">
        <v>62</v>
      </c>
      <c r="K892" s="1">
        <v>0</v>
      </c>
      <c r="L892" s="1">
        <v>62</v>
      </c>
      <c r="M892">
        <v>4</v>
      </c>
    </row>
    <row r="893" spans="1:13" x14ac:dyDescent="0.2">
      <c r="A893" t="s">
        <v>434</v>
      </c>
      <c r="B893" t="s">
        <v>14</v>
      </c>
      <c r="C893" t="s">
        <v>435</v>
      </c>
      <c r="D893" t="s">
        <v>173</v>
      </c>
      <c r="E893">
        <v>6</v>
      </c>
      <c r="F893" s="1">
        <v>70.760000000000005</v>
      </c>
      <c r="G893">
        <v>0</v>
      </c>
      <c r="H893" s="1">
        <v>0</v>
      </c>
      <c r="I893" s="1">
        <v>0</v>
      </c>
      <c r="J893" s="1">
        <v>70.760000000000005</v>
      </c>
      <c r="K893" s="1">
        <v>1.0900000000000001</v>
      </c>
      <c r="L893" s="1">
        <v>71.849999999999994</v>
      </c>
      <c r="M893">
        <v>6</v>
      </c>
    </row>
    <row r="894" spans="1:13" x14ac:dyDescent="0.2">
      <c r="A894" t="s">
        <v>182</v>
      </c>
      <c r="B894" t="s">
        <v>14</v>
      </c>
      <c r="C894" t="s">
        <v>183</v>
      </c>
      <c r="D894" t="s">
        <v>173</v>
      </c>
      <c r="E894">
        <v>10</v>
      </c>
      <c r="F894" s="1">
        <v>149</v>
      </c>
      <c r="G894">
        <v>0</v>
      </c>
      <c r="H894" s="1">
        <v>0</v>
      </c>
      <c r="I894" s="1">
        <v>-2.59</v>
      </c>
      <c r="J894" s="1">
        <v>146.41</v>
      </c>
      <c r="K894" s="1">
        <v>0</v>
      </c>
      <c r="L894" s="1">
        <v>146.41</v>
      </c>
      <c r="M894">
        <v>10</v>
      </c>
    </row>
    <row r="895" spans="1:13" x14ac:dyDescent="0.2">
      <c r="A895" t="s">
        <v>184</v>
      </c>
      <c r="B895" t="s">
        <v>14</v>
      </c>
      <c r="C895">
        <v>3009925</v>
      </c>
      <c r="D895" t="s">
        <v>185</v>
      </c>
      <c r="E895">
        <v>10</v>
      </c>
      <c r="F895" s="1">
        <v>122.67</v>
      </c>
      <c r="G895">
        <v>0</v>
      </c>
      <c r="H895" s="1">
        <v>0</v>
      </c>
      <c r="I895" s="1">
        <v>-0.76</v>
      </c>
      <c r="J895" s="1">
        <v>121.91</v>
      </c>
      <c r="K895" s="1">
        <v>12.33</v>
      </c>
      <c r="L895" s="1">
        <v>134.24</v>
      </c>
      <c r="M895">
        <v>10</v>
      </c>
    </row>
    <row r="896" spans="1:13" x14ac:dyDescent="0.2">
      <c r="A896" t="s">
        <v>1273</v>
      </c>
      <c r="B896" t="s">
        <v>14</v>
      </c>
      <c r="C896">
        <v>74305006104</v>
      </c>
      <c r="D896" t="s">
        <v>186</v>
      </c>
      <c r="E896">
        <v>1</v>
      </c>
      <c r="F896" s="1">
        <v>21.2</v>
      </c>
      <c r="G896">
        <v>0</v>
      </c>
      <c r="H896" s="1">
        <v>0</v>
      </c>
      <c r="I896" s="1">
        <v>0</v>
      </c>
      <c r="J896" s="1">
        <v>21.2</v>
      </c>
      <c r="K896" s="1">
        <v>0</v>
      </c>
      <c r="L896" s="1">
        <v>21.2</v>
      </c>
      <c r="M896">
        <v>1</v>
      </c>
    </row>
    <row r="897" spans="1:13" x14ac:dyDescent="0.2">
      <c r="A897" t="s">
        <v>1274</v>
      </c>
      <c r="B897" t="s">
        <v>14</v>
      </c>
      <c r="C897">
        <v>74305300165</v>
      </c>
      <c r="D897" t="s">
        <v>186</v>
      </c>
      <c r="E897">
        <v>1</v>
      </c>
      <c r="F897" s="1">
        <v>15.9</v>
      </c>
      <c r="G897">
        <v>0</v>
      </c>
      <c r="H897" s="1">
        <v>0</v>
      </c>
      <c r="I897" s="1">
        <v>0</v>
      </c>
      <c r="J897" s="1">
        <v>15.9</v>
      </c>
      <c r="K897" s="1">
        <v>0</v>
      </c>
      <c r="L897" s="1">
        <v>15.9</v>
      </c>
      <c r="M897">
        <v>1</v>
      </c>
    </row>
    <row r="898" spans="1:13" x14ac:dyDescent="0.2">
      <c r="A898" t="s">
        <v>1275</v>
      </c>
      <c r="B898" t="s">
        <v>14</v>
      </c>
      <c r="C898">
        <v>9368056969919</v>
      </c>
      <c r="D898" t="s">
        <v>186</v>
      </c>
      <c r="E898">
        <v>1</v>
      </c>
      <c r="F898" s="1">
        <v>11</v>
      </c>
      <c r="G898">
        <v>0</v>
      </c>
      <c r="H898" s="1">
        <v>0</v>
      </c>
      <c r="I898" s="1">
        <v>0</v>
      </c>
      <c r="J898" s="1">
        <v>11</v>
      </c>
      <c r="K898" s="1">
        <v>0</v>
      </c>
      <c r="L898" s="1">
        <v>11</v>
      </c>
      <c r="M898">
        <v>1</v>
      </c>
    </row>
    <row r="899" spans="1:13" x14ac:dyDescent="0.2">
      <c r="A899" t="s">
        <v>707</v>
      </c>
      <c r="B899" t="s">
        <v>14</v>
      </c>
      <c r="C899">
        <v>9312336111109</v>
      </c>
      <c r="D899" t="s">
        <v>186</v>
      </c>
      <c r="E899">
        <v>1</v>
      </c>
      <c r="F899" s="1">
        <v>10</v>
      </c>
      <c r="G899">
        <v>0</v>
      </c>
      <c r="H899" s="1">
        <v>0</v>
      </c>
      <c r="I899" s="1">
        <v>0</v>
      </c>
      <c r="J899" s="1">
        <v>10</v>
      </c>
      <c r="K899" s="1">
        <v>0</v>
      </c>
      <c r="L899" s="1">
        <v>10</v>
      </c>
      <c r="M899">
        <v>1</v>
      </c>
    </row>
    <row r="900" spans="1:13" x14ac:dyDescent="0.2">
      <c r="A900" t="s">
        <v>1276</v>
      </c>
      <c r="B900" t="s">
        <v>14</v>
      </c>
      <c r="C900">
        <v>9312336211106</v>
      </c>
      <c r="D900" t="s">
        <v>186</v>
      </c>
      <c r="E900">
        <v>1</v>
      </c>
      <c r="F900" s="1">
        <v>18.899999999999999</v>
      </c>
      <c r="G900">
        <v>0</v>
      </c>
      <c r="H900" s="1">
        <v>0</v>
      </c>
      <c r="I900" s="1">
        <v>0</v>
      </c>
      <c r="J900" s="1">
        <v>18.899999999999999</v>
      </c>
      <c r="K900" s="1">
        <v>0</v>
      </c>
      <c r="L900" s="1">
        <v>18.899999999999999</v>
      </c>
      <c r="M900">
        <v>1</v>
      </c>
    </row>
    <row r="901" spans="1:13" x14ac:dyDescent="0.2">
      <c r="A901" t="s">
        <v>1277</v>
      </c>
      <c r="B901" t="s">
        <v>14</v>
      </c>
      <c r="C901">
        <v>9312336111116</v>
      </c>
      <c r="D901" t="s">
        <v>186</v>
      </c>
      <c r="E901">
        <v>1</v>
      </c>
      <c r="F901" s="1">
        <v>8.3000000000000007</v>
      </c>
      <c r="G901">
        <v>0</v>
      </c>
      <c r="H901" s="1">
        <v>0</v>
      </c>
      <c r="I901" s="1">
        <v>-0.83</v>
      </c>
      <c r="J901" s="1">
        <v>7.47</v>
      </c>
      <c r="K901" s="1">
        <v>0</v>
      </c>
      <c r="L901" s="1">
        <v>7.47</v>
      </c>
      <c r="M901">
        <v>1</v>
      </c>
    </row>
    <row r="902" spans="1:13" x14ac:dyDescent="0.2">
      <c r="A902" t="s">
        <v>1278</v>
      </c>
      <c r="B902" t="s">
        <v>14</v>
      </c>
      <c r="C902">
        <v>9351450001972</v>
      </c>
      <c r="D902" t="s">
        <v>186</v>
      </c>
      <c r="E902">
        <v>1</v>
      </c>
      <c r="F902" s="1">
        <v>10.3</v>
      </c>
      <c r="G902">
        <v>0</v>
      </c>
      <c r="H902" s="1">
        <v>0</v>
      </c>
      <c r="I902" s="1">
        <v>0</v>
      </c>
      <c r="J902" s="1">
        <v>10.3</v>
      </c>
      <c r="K902" s="1">
        <v>0</v>
      </c>
      <c r="L902" s="1">
        <v>10.3</v>
      </c>
      <c r="M902">
        <v>1</v>
      </c>
    </row>
    <row r="903" spans="1:13" x14ac:dyDescent="0.2">
      <c r="A903" t="s">
        <v>1279</v>
      </c>
      <c r="B903" t="s">
        <v>14</v>
      </c>
      <c r="C903">
        <v>9344221001059</v>
      </c>
      <c r="D903" t="s">
        <v>187</v>
      </c>
      <c r="E903">
        <v>1</v>
      </c>
      <c r="F903" s="1">
        <v>38.5</v>
      </c>
      <c r="G903">
        <v>0</v>
      </c>
      <c r="H903" s="1">
        <v>0</v>
      </c>
      <c r="I903" s="1">
        <v>0</v>
      </c>
      <c r="J903" s="1">
        <v>38.5</v>
      </c>
      <c r="K903" s="1">
        <v>0</v>
      </c>
      <c r="L903" s="1">
        <v>38.5</v>
      </c>
      <c r="M903">
        <v>1</v>
      </c>
    </row>
    <row r="904" spans="1:13" x14ac:dyDescent="0.2">
      <c r="A904" t="s">
        <v>1280</v>
      </c>
      <c r="B904" t="s">
        <v>14</v>
      </c>
      <c r="C904">
        <v>9335217006288</v>
      </c>
      <c r="D904" t="s">
        <v>187</v>
      </c>
      <c r="E904">
        <v>1</v>
      </c>
      <c r="F904" s="1">
        <v>37.25</v>
      </c>
      <c r="G904">
        <v>0</v>
      </c>
      <c r="H904" s="1">
        <v>0</v>
      </c>
      <c r="I904" s="1">
        <v>0</v>
      </c>
      <c r="J904" s="1">
        <v>37.25</v>
      </c>
      <c r="K904" s="1">
        <v>0</v>
      </c>
      <c r="L904" s="1">
        <v>37.25</v>
      </c>
      <c r="M904">
        <v>1</v>
      </c>
    </row>
    <row r="905" spans="1:13" x14ac:dyDescent="0.2">
      <c r="A905" t="s">
        <v>436</v>
      </c>
      <c r="B905" t="s">
        <v>14</v>
      </c>
      <c r="D905" t="s">
        <v>187</v>
      </c>
      <c r="E905">
        <v>4</v>
      </c>
      <c r="F905" s="1">
        <v>53.69</v>
      </c>
      <c r="G905">
        <v>0</v>
      </c>
      <c r="H905" s="1">
        <v>0</v>
      </c>
      <c r="I905" s="1">
        <v>-1.08</v>
      </c>
      <c r="J905" s="1">
        <v>52.61</v>
      </c>
      <c r="K905" s="1">
        <v>5.31</v>
      </c>
      <c r="L905" s="1">
        <v>57.92</v>
      </c>
      <c r="M905">
        <v>4</v>
      </c>
    </row>
    <row r="906" spans="1:13" x14ac:dyDescent="0.2">
      <c r="A906" t="s">
        <v>708</v>
      </c>
      <c r="B906" t="s">
        <v>14</v>
      </c>
      <c r="C906">
        <v>705105211794</v>
      </c>
      <c r="D906" t="s">
        <v>187</v>
      </c>
      <c r="E906">
        <v>1</v>
      </c>
      <c r="F906" s="1">
        <v>12.85</v>
      </c>
      <c r="G906">
        <v>0</v>
      </c>
      <c r="H906" s="1">
        <v>0</v>
      </c>
      <c r="I906" s="1">
        <v>0</v>
      </c>
      <c r="J906" s="1">
        <v>12.85</v>
      </c>
      <c r="K906" s="1">
        <v>0</v>
      </c>
      <c r="L906" s="1">
        <v>12.85</v>
      </c>
      <c r="M906">
        <v>1</v>
      </c>
    </row>
    <row r="907" spans="1:13" x14ac:dyDescent="0.2">
      <c r="A907" t="s">
        <v>582</v>
      </c>
      <c r="B907" t="s">
        <v>14</v>
      </c>
      <c r="C907">
        <v>706502816193</v>
      </c>
      <c r="D907" t="s">
        <v>187</v>
      </c>
      <c r="E907">
        <v>1</v>
      </c>
      <c r="F907" s="1">
        <v>11.75</v>
      </c>
      <c r="G907">
        <v>0</v>
      </c>
      <c r="H907" s="1">
        <v>0</v>
      </c>
      <c r="I907" s="1">
        <v>0</v>
      </c>
      <c r="J907" s="1">
        <v>11.75</v>
      </c>
      <c r="K907" s="1">
        <v>0</v>
      </c>
      <c r="L907" s="1">
        <v>11.75</v>
      </c>
      <c r="M907">
        <v>1</v>
      </c>
    </row>
    <row r="908" spans="1:13" x14ac:dyDescent="0.2">
      <c r="A908" t="s">
        <v>1281</v>
      </c>
      <c r="B908" t="s">
        <v>14</v>
      </c>
      <c r="C908">
        <v>9319500005516</v>
      </c>
      <c r="D908" t="s">
        <v>187</v>
      </c>
      <c r="E908">
        <v>1</v>
      </c>
      <c r="F908" s="1">
        <v>11.25</v>
      </c>
      <c r="G908">
        <v>0</v>
      </c>
      <c r="H908" s="1">
        <v>0</v>
      </c>
      <c r="I908" s="1">
        <v>-2.25</v>
      </c>
      <c r="J908" s="1">
        <v>9</v>
      </c>
      <c r="K908" s="1">
        <v>0</v>
      </c>
      <c r="L908" s="1">
        <v>9</v>
      </c>
      <c r="M908">
        <v>1</v>
      </c>
    </row>
    <row r="909" spans="1:13" x14ac:dyDescent="0.2">
      <c r="A909" t="s">
        <v>1282</v>
      </c>
      <c r="B909" t="s">
        <v>14</v>
      </c>
      <c r="C909">
        <v>746160759166</v>
      </c>
      <c r="D909" t="s">
        <v>187</v>
      </c>
      <c r="E909">
        <v>1</v>
      </c>
      <c r="F909" s="1">
        <v>12.45</v>
      </c>
      <c r="G909">
        <v>0</v>
      </c>
      <c r="H909" s="1">
        <v>0</v>
      </c>
      <c r="I909" s="1">
        <v>-2.4900000000000002</v>
      </c>
      <c r="J909" s="1">
        <v>9.9600000000000009</v>
      </c>
      <c r="K909" s="1">
        <v>0</v>
      </c>
      <c r="L909" s="1">
        <v>9.9600000000000009</v>
      </c>
      <c r="M909">
        <v>1</v>
      </c>
    </row>
    <row r="910" spans="1:13" x14ac:dyDescent="0.2">
      <c r="A910" t="s">
        <v>900</v>
      </c>
      <c r="B910" t="s">
        <v>14</v>
      </c>
      <c r="C910">
        <v>9342824000035</v>
      </c>
      <c r="D910" t="s">
        <v>187</v>
      </c>
      <c r="E910">
        <v>2</v>
      </c>
      <c r="F910" s="1">
        <v>57.7</v>
      </c>
      <c r="G910">
        <v>0</v>
      </c>
      <c r="H910" s="1">
        <v>0</v>
      </c>
      <c r="I910" s="1">
        <v>0</v>
      </c>
      <c r="J910" s="1">
        <v>57.7</v>
      </c>
      <c r="K910" s="1">
        <v>0</v>
      </c>
      <c r="L910" s="1">
        <v>57.7</v>
      </c>
      <c r="M910">
        <v>2</v>
      </c>
    </row>
    <row r="911" spans="1:13" x14ac:dyDescent="0.2">
      <c r="A911" t="s">
        <v>1283</v>
      </c>
      <c r="B911" t="s">
        <v>14</v>
      </c>
      <c r="C911">
        <v>9342824000202</v>
      </c>
      <c r="D911" t="s">
        <v>187</v>
      </c>
      <c r="E911">
        <v>1</v>
      </c>
      <c r="F911" s="1">
        <v>75.25</v>
      </c>
      <c r="G911">
        <v>0</v>
      </c>
      <c r="H911" s="1">
        <v>0</v>
      </c>
      <c r="I911" s="1">
        <v>0</v>
      </c>
      <c r="J911" s="1">
        <v>75.25</v>
      </c>
      <c r="K911" s="1">
        <v>0</v>
      </c>
      <c r="L911" s="1">
        <v>75.25</v>
      </c>
      <c r="M911">
        <v>1</v>
      </c>
    </row>
    <row r="912" spans="1:13" x14ac:dyDescent="0.2">
      <c r="A912" t="s">
        <v>709</v>
      </c>
      <c r="B912" t="s">
        <v>14</v>
      </c>
      <c r="C912">
        <v>9342824000028</v>
      </c>
      <c r="D912" t="s">
        <v>187</v>
      </c>
      <c r="E912">
        <v>2</v>
      </c>
      <c r="F912" s="1">
        <v>57.7</v>
      </c>
      <c r="G912">
        <v>0</v>
      </c>
      <c r="H912" s="1">
        <v>0</v>
      </c>
      <c r="I912" s="1">
        <v>-0.65</v>
      </c>
      <c r="J912" s="1">
        <v>57.05</v>
      </c>
      <c r="K912" s="1">
        <v>0</v>
      </c>
      <c r="L912" s="1">
        <v>57.05</v>
      </c>
      <c r="M912">
        <v>2</v>
      </c>
    </row>
    <row r="913" spans="1:13" x14ac:dyDescent="0.2">
      <c r="A913" t="s">
        <v>1284</v>
      </c>
      <c r="B913" t="s">
        <v>14</v>
      </c>
      <c r="C913">
        <v>9330870009577</v>
      </c>
      <c r="D913" t="s">
        <v>187</v>
      </c>
      <c r="E913">
        <v>1</v>
      </c>
      <c r="F913" s="1">
        <v>12.1</v>
      </c>
      <c r="G913">
        <v>0</v>
      </c>
      <c r="H913" s="1">
        <v>0</v>
      </c>
      <c r="I913" s="1">
        <v>-2.74</v>
      </c>
      <c r="J913" s="1">
        <v>9.36</v>
      </c>
      <c r="K913" s="1">
        <v>0</v>
      </c>
      <c r="L913" s="1">
        <v>9.36</v>
      </c>
      <c r="M913">
        <v>1</v>
      </c>
    </row>
    <row r="914" spans="1:13" x14ac:dyDescent="0.2">
      <c r="A914" t="s">
        <v>1285</v>
      </c>
      <c r="B914" t="s">
        <v>14</v>
      </c>
      <c r="C914">
        <v>9330870009928</v>
      </c>
      <c r="D914" t="s">
        <v>187</v>
      </c>
      <c r="E914">
        <v>1</v>
      </c>
      <c r="F914" s="1">
        <v>12.1</v>
      </c>
      <c r="G914">
        <v>0</v>
      </c>
      <c r="H914" s="1">
        <v>0</v>
      </c>
      <c r="I914" s="1">
        <v>0</v>
      </c>
      <c r="J914" s="1">
        <v>12.1</v>
      </c>
      <c r="K914" s="1">
        <v>0</v>
      </c>
      <c r="L914" s="1">
        <v>12.1</v>
      </c>
      <c r="M914">
        <v>1</v>
      </c>
    </row>
    <row r="915" spans="1:13" x14ac:dyDescent="0.2">
      <c r="A915" t="s">
        <v>1286</v>
      </c>
      <c r="B915" t="s">
        <v>14</v>
      </c>
      <c r="C915">
        <v>9339944006603</v>
      </c>
      <c r="D915" t="s">
        <v>187</v>
      </c>
      <c r="E915">
        <v>1</v>
      </c>
      <c r="F915" s="1">
        <v>45.5</v>
      </c>
      <c r="G915">
        <v>0</v>
      </c>
      <c r="H915" s="1">
        <v>0</v>
      </c>
      <c r="I915" s="1">
        <v>0</v>
      </c>
      <c r="J915" s="1">
        <v>45.5</v>
      </c>
      <c r="K915" s="1">
        <v>0</v>
      </c>
      <c r="L915" s="1">
        <v>45.5</v>
      </c>
      <c r="M915">
        <v>1</v>
      </c>
    </row>
    <row r="916" spans="1:13" x14ac:dyDescent="0.2">
      <c r="A916" t="s">
        <v>901</v>
      </c>
      <c r="B916" t="s">
        <v>14</v>
      </c>
      <c r="C916">
        <v>9339944006597</v>
      </c>
      <c r="D916" t="s">
        <v>187</v>
      </c>
      <c r="E916">
        <v>2</v>
      </c>
      <c r="F916" s="1">
        <v>24.5</v>
      </c>
      <c r="G916">
        <v>0</v>
      </c>
      <c r="H916" s="1">
        <v>0</v>
      </c>
      <c r="I916" s="1">
        <v>0</v>
      </c>
      <c r="J916" s="1">
        <v>24.5</v>
      </c>
      <c r="K916" s="1">
        <v>0</v>
      </c>
      <c r="L916" s="1">
        <v>24.5</v>
      </c>
      <c r="M916">
        <v>2</v>
      </c>
    </row>
    <row r="917" spans="1:13" x14ac:dyDescent="0.2">
      <c r="A917" t="s">
        <v>1287</v>
      </c>
      <c r="B917" t="s">
        <v>14</v>
      </c>
      <c r="C917">
        <v>9339944004845</v>
      </c>
      <c r="D917" t="s">
        <v>187</v>
      </c>
      <c r="E917">
        <v>1</v>
      </c>
      <c r="F917" s="1">
        <v>35.700000000000003</v>
      </c>
      <c r="G917">
        <v>0</v>
      </c>
      <c r="H917" s="1">
        <v>0</v>
      </c>
      <c r="I917" s="1">
        <v>0</v>
      </c>
      <c r="J917" s="1">
        <v>35.700000000000003</v>
      </c>
      <c r="K917" s="1">
        <v>0</v>
      </c>
      <c r="L917" s="1">
        <v>35.700000000000003</v>
      </c>
      <c r="M917">
        <v>1</v>
      </c>
    </row>
    <row r="918" spans="1:13" x14ac:dyDescent="0.2">
      <c r="A918" t="s">
        <v>1288</v>
      </c>
      <c r="B918" t="s">
        <v>14</v>
      </c>
      <c r="C918">
        <v>9369900019828</v>
      </c>
      <c r="D918" t="s">
        <v>187</v>
      </c>
      <c r="E918">
        <v>1</v>
      </c>
      <c r="F918" s="1">
        <v>84.95</v>
      </c>
      <c r="G918">
        <v>0</v>
      </c>
      <c r="H918" s="1">
        <v>0</v>
      </c>
      <c r="I918" s="1">
        <v>0</v>
      </c>
      <c r="J918" s="1">
        <v>84.95</v>
      </c>
      <c r="K918" s="1">
        <v>0</v>
      </c>
      <c r="L918" s="1">
        <v>84.95</v>
      </c>
      <c r="M918">
        <v>1</v>
      </c>
    </row>
    <row r="919" spans="1:13" x14ac:dyDescent="0.2">
      <c r="A919" t="s">
        <v>1289</v>
      </c>
      <c r="B919" t="s">
        <v>14</v>
      </c>
      <c r="C919">
        <v>9312336782859</v>
      </c>
      <c r="D919" t="s">
        <v>187</v>
      </c>
      <c r="E919">
        <v>3</v>
      </c>
      <c r="F919" s="1">
        <v>27</v>
      </c>
      <c r="G919">
        <v>0</v>
      </c>
      <c r="H919" s="1">
        <v>0</v>
      </c>
      <c r="I919" s="1">
        <v>0</v>
      </c>
      <c r="J919" s="1">
        <v>27</v>
      </c>
      <c r="K919" s="1">
        <v>0</v>
      </c>
      <c r="L919" s="1">
        <v>27</v>
      </c>
      <c r="M919">
        <v>3</v>
      </c>
    </row>
    <row r="920" spans="1:13" x14ac:dyDescent="0.2">
      <c r="A920" t="s">
        <v>1290</v>
      </c>
      <c r="B920" t="s">
        <v>14</v>
      </c>
      <c r="C920">
        <v>9312336782002</v>
      </c>
      <c r="D920" t="s">
        <v>187</v>
      </c>
      <c r="E920">
        <v>1</v>
      </c>
      <c r="F920" s="1">
        <v>10.6</v>
      </c>
      <c r="G920">
        <v>0</v>
      </c>
      <c r="H920" s="1">
        <v>0</v>
      </c>
      <c r="I920" s="1">
        <v>-1.39</v>
      </c>
      <c r="J920" s="1">
        <v>9.2100000000000009</v>
      </c>
      <c r="K920" s="1">
        <v>0</v>
      </c>
      <c r="L920" s="1">
        <v>9.2100000000000009</v>
      </c>
      <c r="M920">
        <v>1</v>
      </c>
    </row>
    <row r="921" spans="1:13" x14ac:dyDescent="0.2">
      <c r="A921" t="s">
        <v>902</v>
      </c>
      <c r="B921" t="s">
        <v>14</v>
      </c>
      <c r="C921">
        <v>9312336783153</v>
      </c>
      <c r="D921" t="s">
        <v>187</v>
      </c>
      <c r="E921">
        <v>1</v>
      </c>
      <c r="F921" s="1">
        <v>15.2</v>
      </c>
      <c r="G921">
        <v>0</v>
      </c>
      <c r="H921" s="1">
        <v>0</v>
      </c>
      <c r="I921" s="1">
        <v>0</v>
      </c>
      <c r="J921" s="1">
        <v>15.2</v>
      </c>
      <c r="K921" s="1">
        <v>0</v>
      </c>
      <c r="L921" s="1">
        <v>15.2</v>
      </c>
      <c r="M921">
        <v>1</v>
      </c>
    </row>
    <row r="922" spans="1:13" x14ac:dyDescent="0.2">
      <c r="A922" t="s">
        <v>1291</v>
      </c>
      <c r="B922" t="s">
        <v>14</v>
      </c>
      <c r="C922">
        <v>100000005712</v>
      </c>
      <c r="D922" t="s">
        <v>188</v>
      </c>
      <c r="E922">
        <v>1</v>
      </c>
      <c r="F922" s="1">
        <v>180.27</v>
      </c>
      <c r="G922">
        <v>0</v>
      </c>
      <c r="H922" s="1">
        <v>0</v>
      </c>
      <c r="I922" s="1">
        <v>0</v>
      </c>
      <c r="J922" s="1">
        <v>180.27</v>
      </c>
      <c r="K922" s="1">
        <v>18.23</v>
      </c>
      <c r="L922" s="1">
        <v>198.5</v>
      </c>
      <c r="M922">
        <v>1</v>
      </c>
    </row>
    <row r="923" spans="1:13" x14ac:dyDescent="0.2">
      <c r="A923" t="s">
        <v>1292</v>
      </c>
      <c r="B923" t="s">
        <v>14</v>
      </c>
      <c r="C923">
        <v>9361410000167</v>
      </c>
      <c r="D923" t="s">
        <v>188</v>
      </c>
      <c r="E923">
        <v>2</v>
      </c>
      <c r="F923" s="1">
        <v>109.4</v>
      </c>
      <c r="G923">
        <v>0</v>
      </c>
      <c r="H923" s="1">
        <v>0</v>
      </c>
      <c r="I923" s="1">
        <v>0</v>
      </c>
      <c r="J923" s="1">
        <v>109.4</v>
      </c>
      <c r="K923" s="1">
        <v>0</v>
      </c>
      <c r="L923" s="1">
        <v>109.4</v>
      </c>
      <c r="M923">
        <v>2</v>
      </c>
    </row>
    <row r="924" spans="1:13" x14ac:dyDescent="0.2">
      <c r="A924" t="s">
        <v>1293</v>
      </c>
      <c r="B924" t="s">
        <v>14</v>
      </c>
      <c r="C924">
        <v>9415748010821</v>
      </c>
      <c r="D924" t="s">
        <v>188</v>
      </c>
      <c r="E924">
        <v>1</v>
      </c>
      <c r="F924" s="1">
        <v>9.25</v>
      </c>
      <c r="G924">
        <v>0</v>
      </c>
      <c r="H924" s="1">
        <v>0</v>
      </c>
      <c r="I924" s="1">
        <v>0</v>
      </c>
      <c r="J924" s="1">
        <v>9.25</v>
      </c>
      <c r="K924" s="1">
        <v>0</v>
      </c>
      <c r="L924" s="1">
        <v>9.25</v>
      </c>
      <c r="M924">
        <v>1</v>
      </c>
    </row>
    <row r="925" spans="1:13" x14ac:dyDescent="0.2">
      <c r="A925" t="s">
        <v>1294</v>
      </c>
      <c r="B925" t="s">
        <v>14</v>
      </c>
      <c r="C925">
        <v>9357204000765</v>
      </c>
      <c r="D925" t="s">
        <v>188</v>
      </c>
      <c r="E925">
        <v>1</v>
      </c>
      <c r="F925" s="1">
        <v>48.09</v>
      </c>
      <c r="G925">
        <v>0</v>
      </c>
      <c r="H925" s="1">
        <v>0</v>
      </c>
      <c r="I925" s="1">
        <v>0</v>
      </c>
      <c r="J925" s="1">
        <v>48.09</v>
      </c>
      <c r="K925" s="1">
        <v>4.8600000000000003</v>
      </c>
      <c r="L925" s="1">
        <v>52.95</v>
      </c>
      <c r="M925">
        <v>1</v>
      </c>
    </row>
    <row r="926" spans="1:13" x14ac:dyDescent="0.2">
      <c r="A926" t="s">
        <v>710</v>
      </c>
      <c r="B926" t="s">
        <v>14</v>
      </c>
      <c r="C926">
        <v>784927299364</v>
      </c>
      <c r="D926" t="s">
        <v>188</v>
      </c>
      <c r="E926">
        <v>2</v>
      </c>
      <c r="F926" s="1">
        <v>45.2</v>
      </c>
      <c r="G926">
        <v>0</v>
      </c>
      <c r="H926" s="1">
        <v>0</v>
      </c>
      <c r="I926" s="1">
        <v>0</v>
      </c>
      <c r="J926" s="1">
        <v>45.2</v>
      </c>
      <c r="K926" s="1">
        <v>0</v>
      </c>
      <c r="L926" s="1">
        <v>45.2</v>
      </c>
      <c r="M926">
        <v>2</v>
      </c>
    </row>
    <row r="927" spans="1:13" x14ac:dyDescent="0.2">
      <c r="A927" t="s">
        <v>1295</v>
      </c>
      <c r="B927" t="s">
        <v>14</v>
      </c>
      <c r="C927">
        <v>9339944004432</v>
      </c>
      <c r="D927" t="s">
        <v>188</v>
      </c>
      <c r="E927">
        <v>2</v>
      </c>
      <c r="F927" s="1">
        <v>53</v>
      </c>
      <c r="G927">
        <v>0</v>
      </c>
      <c r="H927" s="1">
        <v>0</v>
      </c>
      <c r="I927" s="1">
        <v>0</v>
      </c>
      <c r="J927" s="1">
        <v>53</v>
      </c>
      <c r="K927" s="1">
        <v>0</v>
      </c>
      <c r="L927" s="1">
        <v>53</v>
      </c>
      <c r="M927">
        <v>2</v>
      </c>
    </row>
    <row r="928" spans="1:13" x14ac:dyDescent="0.2">
      <c r="A928" t="s">
        <v>1296</v>
      </c>
      <c r="B928" t="s">
        <v>14</v>
      </c>
      <c r="C928">
        <v>794712893189</v>
      </c>
      <c r="D928" t="s">
        <v>188</v>
      </c>
      <c r="E928">
        <v>2</v>
      </c>
      <c r="F928" s="1">
        <v>54</v>
      </c>
      <c r="G928">
        <v>0</v>
      </c>
      <c r="H928" s="1">
        <v>0</v>
      </c>
      <c r="I928" s="1">
        <v>-0.66</v>
      </c>
      <c r="J928" s="1">
        <v>53.34</v>
      </c>
      <c r="K928" s="1">
        <v>5.4</v>
      </c>
      <c r="L928" s="1">
        <v>58.74</v>
      </c>
      <c r="M928">
        <v>2</v>
      </c>
    </row>
    <row r="929" spans="1:13" x14ac:dyDescent="0.2">
      <c r="A929" t="s">
        <v>1297</v>
      </c>
      <c r="B929" t="s">
        <v>14</v>
      </c>
      <c r="C929">
        <v>9312628260522</v>
      </c>
      <c r="D929" t="s">
        <v>188</v>
      </c>
      <c r="E929">
        <v>1</v>
      </c>
      <c r="F929" s="1">
        <v>43.23</v>
      </c>
      <c r="G929">
        <v>0</v>
      </c>
      <c r="H929" s="1">
        <v>0</v>
      </c>
      <c r="I929" s="1">
        <v>0</v>
      </c>
      <c r="J929" s="1">
        <v>43.23</v>
      </c>
      <c r="K929" s="1">
        <v>4.37</v>
      </c>
      <c r="L929" s="1">
        <v>47.6</v>
      </c>
      <c r="M929">
        <v>1</v>
      </c>
    </row>
    <row r="930" spans="1:13" x14ac:dyDescent="0.2">
      <c r="A930" t="s">
        <v>908</v>
      </c>
      <c r="B930" t="s">
        <v>14</v>
      </c>
      <c r="C930">
        <v>9351857005276</v>
      </c>
      <c r="D930" t="s">
        <v>188</v>
      </c>
      <c r="E930">
        <v>1</v>
      </c>
      <c r="F930" s="1">
        <v>54.5</v>
      </c>
      <c r="G930">
        <v>0</v>
      </c>
      <c r="H930" s="1">
        <v>0</v>
      </c>
      <c r="I930" s="1">
        <v>0</v>
      </c>
      <c r="J930" s="1">
        <v>54.5</v>
      </c>
      <c r="K930" s="1">
        <v>0</v>
      </c>
      <c r="L930" s="1">
        <v>54.5</v>
      </c>
      <c r="M930">
        <v>1</v>
      </c>
    </row>
    <row r="931" spans="1:13" x14ac:dyDescent="0.2">
      <c r="A931" t="s">
        <v>1298</v>
      </c>
      <c r="B931" t="s">
        <v>14</v>
      </c>
      <c r="C931">
        <v>9351857001407</v>
      </c>
      <c r="D931" t="s">
        <v>188</v>
      </c>
      <c r="E931">
        <v>1</v>
      </c>
      <c r="F931" s="1">
        <v>21.75</v>
      </c>
      <c r="G931">
        <v>0</v>
      </c>
      <c r="H931" s="1">
        <v>0</v>
      </c>
      <c r="I931" s="1">
        <v>-21.75</v>
      </c>
      <c r="J931" s="1">
        <v>0</v>
      </c>
      <c r="K931" s="1">
        <v>0</v>
      </c>
      <c r="L931" s="1">
        <v>0</v>
      </c>
      <c r="M931">
        <v>1</v>
      </c>
    </row>
    <row r="932" spans="1:13" x14ac:dyDescent="0.2">
      <c r="A932" t="s">
        <v>1299</v>
      </c>
      <c r="B932" t="s">
        <v>14</v>
      </c>
      <c r="C932">
        <v>9351857001742</v>
      </c>
      <c r="D932" t="s">
        <v>188</v>
      </c>
      <c r="E932">
        <v>1</v>
      </c>
      <c r="F932" s="1">
        <v>44.95</v>
      </c>
      <c r="G932">
        <v>0</v>
      </c>
      <c r="H932" s="1">
        <v>0</v>
      </c>
      <c r="I932" s="1">
        <v>0</v>
      </c>
      <c r="J932" s="1">
        <v>44.95</v>
      </c>
      <c r="K932" s="1">
        <v>0</v>
      </c>
      <c r="L932" s="1">
        <v>44.95</v>
      </c>
      <c r="M932">
        <v>1</v>
      </c>
    </row>
    <row r="933" spans="1:13" x14ac:dyDescent="0.2">
      <c r="A933" t="s">
        <v>583</v>
      </c>
      <c r="B933" t="s">
        <v>14</v>
      </c>
      <c r="C933">
        <v>9413000077520</v>
      </c>
      <c r="D933" t="s">
        <v>188</v>
      </c>
      <c r="E933">
        <v>2</v>
      </c>
      <c r="F933" s="1">
        <v>14.44</v>
      </c>
      <c r="G933">
        <v>0</v>
      </c>
      <c r="H933" s="1">
        <v>0</v>
      </c>
      <c r="I933" s="1">
        <v>0</v>
      </c>
      <c r="J933" s="1">
        <v>14.44</v>
      </c>
      <c r="K933" s="1">
        <v>1.46</v>
      </c>
      <c r="L933" s="1">
        <v>15.9</v>
      </c>
      <c r="M933">
        <v>2</v>
      </c>
    </row>
    <row r="934" spans="1:13" x14ac:dyDescent="0.2">
      <c r="A934" t="s">
        <v>1300</v>
      </c>
      <c r="B934" t="s">
        <v>14</v>
      </c>
      <c r="C934">
        <v>9413000082685</v>
      </c>
      <c r="D934" t="s">
        <v>188</v>
      </c>
      <c r="E934">
        <v>6</v>
      </c>
      <c r="F934" s="1">
        <v>43.41</v>
      </c>
      <c r="G934">
        <v>0</v>
      </c>
      <c r="H934" s="1">
        <v>0</v>
      </c>
      <c r="I934" s="1">
        <v>-0.95</v>
      </c>
      <c r="J934" s="1">
        <v>42.46</v>
      </c>
      <c r="K934" s="1">
        <v>4.29</v>
      </c>
      <c r="L934" s="1">
        <v>46.75</v>
      </c>
      <c r="M934">
        <v>6</v>
      </c>
    </row>
    <row r="935" spans="1:13" x14ac:dyDescent="0.2">
      <c r="A935" t="s">
        <v>909</v>
      </c>
      <c r="B935" t="s">
        <v>14</v>
      </c>
      <c r="C935">
        <v>9421907339023</v>
      </c>
      <c r="D935" t="s">
        <v>188</v>
      </c>
      <c r="E935">
        <v>4</v>
      </c>
      <c r="F935" s="1">
        <v>28.95</v>
      </c>
      <c r="G935">
        <v>0</v>
      </c>
      <c r="H935" s="1">
        <v>0</v>
      </c>
      <c r="I935" s="1">
        <v>-0.82</v>
      </c>
      <c r="J935" s="1">
        <v>28.13</v>
      </c>
      <c r="K935" s="1">
        <v>2.85</v>
      </c>
      <c r="L935" s="1">
        <v>30.98</v>
      </c>
      <c r="M935">
        <v>4</v>
      </c>
    </row>
    <row r="936" spans="1:13" x14ac:dyDescent="0.2">
      <c r="A936" t="s">
        <v>1301</v>
      </c>
      <c r="B936" t="s">
        <v>14</v>
      </c>
      <c r="C936">
        <v>9421907339047</v>
      </c>
      <c r="D936" t="s">
        <v>188</v>
      </c>
      <c r="E936">
        <v>1</v>
      </c>
      <c r="F936" s="1">
        <v>7.22</v>
      </c>
      <c r="G936">
        <v>0</v>
      </c>
      <c r="H936" s="1">
        <v>0</v>
      </c>
      <c r="I936" s="1">
        <v>0</v>
      </c>
      <c r="J936" s="1">
        <v>7.22</v>
      </c>
      <c r="K936" s="1">
        <v>0.73</v>
      </c>
      <c r="L936" s="1">
        <v>7.95</v>
      </c>
      <c r="M936">
        <v>1</v>
      </c>
    </row>
    <row r="937" spans="1:13" x14ac:dyDescent="0.2">
      <c r="A937" t="s">
        <v>584</v>
      </c>
      <c r="B937" t="s">
        <v>14</v>
      </c>
      <c r="C937">
        <v>9413000077513</v>
      </c>
      <c r="D937" t="s">
        <v>188</v>
      </c>
      <c r="E937">
        <v>5</v>
      </c>
      <c r="F937" s="1">
        <v>36.119999999999997</v>
      </c>
      <c r="G937">
        <v>0</v>
      </c>
      <c r="H937" s="1">
        <v>0</v>
      </c>
      <c r="I937" s="1">
        <v>-0.23</v>
      </c>
      <c r="J937" s="1">
        <v>35.89</v>
      </c>
      <c r="K937" s="1">
        <v>3.63</v>
      </c>
      <c r="L937" s="1">
        <v>39.520000000000003</v>
      </c>
      <c r="M937">
        <v>5</v>
      </c>
    </row>
    <row r="938" spans="1:13" x14ac:dyDescent="0.2">
      <c r="A938" t="s">
        <v>912</v>
      </c>
      <c r="B938" t="s">
        <v>14</v>
      </c>
      <c r="C938">
        <v>9326224002103</v>
      </c>
      <c r="D938" t="s">
        <v>188</v>
      </c>
      <c r="E938">
        <v>1</v>
      </c>
      <c r="F938" s="1">
        <v>19.690000000000001</v>
      </c>
      <c r="G938">
        <v>0</v>
      </c>
      <c r="H938" s="1">
        <v>0</v>
      </c>
      <c r="I938" s="1">
        <v>-4.25</v>
      </c>
      <c r="J938" s="1">
        <v>15.44</v>
      </c>
      <c r="K938" s="1">
        <v>1.56</v>
      </c>
      <c r="L938" s="1">
        <v>17</v>
      </c>
      <c r="M938">
        <v>1</v>
      </c>
    </row>
    <row r="939" spans="1:13" x14ac:dyDescent="0.2">
      <c r="A939" t="s">
        <v>1302</v>
      </c>
      <c r="B939" t="s">
        <v>14</v>
      </c>
      <c r="C939">
        <v>9326224002257</v>
      </c>
      <c r="D939" t="s">
        <v>188</v>
      </c>
      <c r="E939">
        <v>1</v>
      </c>
      <c r="F939" s="1">
        <v>6.81</v>
      </c>
      <c r="G939">
        <v>0</v>
      </c>
      <c r="H939" s="1">
        <v>0</v>
      </c>
      <c r="I939" s="1">
        <v>0</v>
      </c>
      <c r="J939" s="1">
        <v>6.81</v>
      </c>
      <c r="K939" s="1">
        <v>0.69</v>
      </c>
      <c r="L939" s="1">
        <v>7.5</v>
      </c>
      <c r="M939">
        <v>1</v>
      </c>
    </row>
    <row r="940" spans="1:13" x14ac:dyDescent="0.2">
      <c r="A940" t="s">
        <v>913</v>
      </c>
      <c r="B940" t="s">
        <v>14</v>
      </c>
      <c r="C940">
        <v>726684624119</v>
      </c>
      <c r="D940" t="s">
        <v>188</v>
      </c>
      <c r="E940">
        <v>1</v>
      </c>
      <c r="F940" s="1">
        <v>36.950000000000003</v>
      </c>
      <c r="G940">
        <v>0</v>
      </c>
      <c r="H940" s="1">
        <v>0</v>
      </c>
      <c r="I940" s="1">
        <v>-36.950000000000003</v>
      </c>
      <c r="J940" s="1">
        <v>0</v>
      </c>
      <c r="K940" s="1">
        <v>0</v>
      </c>
      <c r="L940" s="1">
        <v>0</v>
      </c>
      <c r="M940">
        <v>1</v>
      </c>
    </row>
    <row r="941" spans="1:13" x14ac:dyDescent="0.2">
      <c r="A941" t="s">
        <v>1303</v>
      </c>
      <c r="B941" t="s">
        <v>14</v>
      </c>
      <c r="C941">
        <v>726684624126</v>
      </c>
      <c r="D941" t="s">
        <v>188</v>
      </c>
      <c r="E941">
        <v>2</v>
      </c>
      <c r="F941" s="1">
        <v>87.54</v>
      </c>
      <c r="G941">
        <v>0</v>
      </c>
      <c r="H941" s="1">
        <v>0</v>
      </c>
      <c r="I941" s="1">
        <v>-4.8</v>
      </c>
      <c r="J941" s="1">
        <v>82.74</v>
      </c>
      <c r="K941" s="1">
        <v>8.36</v>
      </c>
      <c r="L941" s="1">
        <v>91.1</v>
      </c>
      <c r="M941">
        <v>2</v>
      </c>
    </row>
    <row r="942" spans="1:13" x14ac:dyDescent="0.2">
      <c r="A942" t="s">
        <v>713</v>
      </c>
      <c r="B942" t="s">
        <v>14</v>
      </c>
      <c r="C942">
        <v>726684624300</v>
      </c>
      <c r="D942" t="s">
        <v>188</v>
      </c>
      <c r="E942">
        <v>1</v>
      </c>
      <c r="F942" s="1">
        <v>33.56</v>
      </c>
      <c r="G942">
        <v>0</v>
      </c>
      <c r="H942" s="1">
        <v>0</v>
      </c>
      <c r="I942" s="1">
        <v>0</v>
      </c>
      <c r="J942" s="1">
        <v>33.56</v>
      </c>
      <c r="K942" s="1">
        <v>3.39</v>
      </c>
      <c r="L942" s="1">
        <v>36.950000000000003</v>
      </c>
      <c r="M942">
        <v>1</v>
      </c>
    </row>
    <row r="943" spans="1:13" x14ac:dyDescent="0.2">
      <c r="A943" t="s">
        <v>715</v>
      </c>
      <c r="B943" t="s">
        <v>14</v>
      </c>
      <c r="C943">
        <v>726684624034</v>
      </c>
      <c r="D943" t="s">
        <v>188</v>
      </c>
      <c r="E943">
        <v>5</v>
      </c>
      <c r="F943" s="1">
        <v>144.21</v>
      </c>
      <c r="G943">
        <v>0</v>
      </c>
      <c r="H943" s="1">
        <v>0</v>
      </c>
      <c r="I943" s="1">
        <v>0</v>
      </c>
      <c r="J943" s="1">
        <v>144.21</v>
      </c>
      <c r="K943" s="1">
        <v>14.54</v>
      </c>
      <c r="L943" s="1">
        <v>158.75</v>
      </c>
      <c r="M943">
        <v>5</v>
      </c>
    </row>
    <row r="944" spans="1:13" x14ac:dyDescent="0.2">
      <c r="A944" t="s">
        <v>914</v>
      </c>
      <c r="B944" t="s">
        <v>14</v>
      </c>
      <c r="C944">
        <v>726684624010</v>
      </c>
      <c r="D944" t="s">
        <v>188</v>
      </c>
      <c r="E944">
        <v>5</v>
      </c>
      <c r="F944" s="1">
        <v>204.1</v>
      </c>
      <c r="G944">
        <v>0</v>
      </c>
      <c r="H944" s="1">
        <v>0</v>
      </c>
      <c r="I944" s="1">
        <v>0</v>
      </c>
      <c r="J944" s="1">
        <v>204.1</v>
      </c>
      <c r="K944" s="1">
        <v>20.65</v>
      </c>
      <c r="L944" s="1">
        <v>224.75</v>
      </c>
      <c r="M944">
        <v>5</v>
      </c>
    </row>
    <row r="945" spans="1:13" x14ac:dyDescent="0.2">
      <c r="A945" t="s">
        <v>1304</v>
      </c>
      <c r="B945" t="s">
        <v>14</v>
      </c>
      <c r="C945">
        <v>726684624157</v>
      </c>
      <c r="D945" t="s">
        <v>188</v>
      </c>
      <c r="E945">
        <v>2</v>
      </c>
      <c r="F945" s="1">
        <v>67.12</v>
      </c>
      <c r="G945">
        <v>0</v>
      </c>
      <c r="H945" s="1">
        <v>0</v>
      </c>
      <c r="I945" s="1">
        <v>0</v>
      </c>
      <c r="J945" s="1">
        <v>67.12</v>
      </c>
      <c r="K945" s="1">
        <v>6.78</v>
      </c>
      <c r="L945" s="1">
        <v>73.900000000000006</v>
      </c>
      <c r="M945">
        <v>2</v>
      </c>
    </row>
    <row r="946" spans="1:13" x14ac:dyDescent="0.2">
      <c r="A946" t="s">
        <v>1305</v>
      </c>
      <c r="B946" t="s">
        <v>14</v>
      </c>
      <c r="C946">
        <v>726684624072</v>
      </c>
      <c r="D946" t="s">
        <v>188</v>
      </c>
      <c r="E946">
        <v>1</v>
      </c>
      <c r="F946" s="1">
        <v>33.56</v>
      </c>
      <c r="G946">
        <v>0</v>
      </c>
      <c r="H946" s="1">
        <v>0</v>
      </c>
      <c r="I946" s="1">
        <v>0</v>
      </c>
      <c r="J946" s="1">
        <v>33.56</v>
      </c>
      <c r="K946" s="1">
        <v>3.39</v>
      </c>
      <c r="L946" s="1">
        <v>36.950000000000003</v>
      </c>
      <c r="M946">
        <v>1</v>
      </c>
    </row>
    <row r="947" spans="1:13" x14ac:dyDescent="0.2">
      <c r="A947" t="s">
        <v>1306</v>
      </c>
      <c r="B947" t="s">
        <v>14</v>
      </c>
      <c r="C947">
        <v>9343723007286</v>
      </c>
      <c r="D947" t="s">
        <v>188</v>
      </c>
      <c r="E947">
        <v>1</v>
      </c>
      <c r="F947" s="1">
        <v>77.14</v>
      </c>
      <c r="G947">
        <v>0</v>
      </c>
      <c r="H947" s="1">
        <v>0</v>
      </c>
      <c r="I947" s="1">
        <v>0</v>
      </c>
      <c r="J947" s="1">
        <v>77.14</v>
      </c>
      <c r="K947" s="1">
        <v>7.81</v>
      </c>
      <c r="L947" s="1">
        <v>84.95</v>
      </c>
      <c r="M947">
        <v>1</v>
      </c>
    </row>
    <row r="948" spans="1:13" x14ac:dyDescent="0.2">
      <c r="A948" t="s">
        <v>1307</v>
      </c>
      <c r="B948" t="s">
        <v>14</v>
      </c>
      <c r="C948" t="s">
        <v>1308</v>
      </c>
      <c r="D948" t="s">
        <v>188</v>
      </c>
      <c r="E948">
        <v>1</v>
      </c>
      <c r="F948" s="1">
        <v>22.5</v>
      </c>
      <c r="G948">
        <v>0</v>
      </c>
      <c r="H948" s="1">
        <v>0</v>
      </c>
      <c r="I948" s="1">
        <v>0</v>
      </c>
      <c r="J948" s="1">
        <v>22.5</v>
      </c>
      <c r="K948" s="1">
        <v>0</v>
      </c>
      <c r="L948" s="1">
        <v>22.5</v>
      </c>
      <c r="M948">
        <v>1</v>
      </c>
    </row>
    <row r="949" spans="1:13" x14ac:dyDescent="0.2">
      <c r="A949" t="s">
        <v>917</v>
      </c>
      <c r="B949" t="s">
        <v>14</v>
      </c>
      <c r="C949">
        <v>781005327155</v>
      </c>
      <c r="D949" t="s">
        <v>188</v>
      </c>
      <c r="E949">
        <v>2</v>
      </c>
      <c r="F949" s="1">
        <v>70.84</v>
      </c>
      <c r="G949">
        <v>0</v>
      </c>
      <c r="H949" s="1">
        <v>0</v>
      </c>
      <c r="I949" s="1">
        <v>0</v>
      </c>
      <c r="J949" s="1">
        <v>70.84</v>
      </c>
      <c r="K949" s="1">
        <v>7.16</v>
      </c>
      <c r="L949" s="1">
        <v>78</v>
      </c>
      <c r="M949">
        <v>2</v>
      </c>
    </row>
    <row r="950" spans="1:13" x14ac:dyDescent="0.2">
      <c r="A950" t="s">
        <v>1309</v>
      </c>
      <c r="B950" t="s">
        <v>14</v>
      </c>
      <c r="C950">
        <v>9369998266401</v>
      </c>
      <c r="D950" t="s">
        <v>188</v>
      </c>
      <c r="E950">
        <v>1</v>
      </c>
      <c r="F950" s="1">
        <v>29.75</v>
      </c>
      <c r="G950">
        <v>0</v>
      </c>
      <c r="H950" s="1">
        <v>0</v>
      </c>
      <c r="I950" s="1">
        <v>0</v>
      </c>
      <c r="J950" s="1">
        <v>29.75</v>
      </c>
      <c r="K950" s="1">
        <v>0</v>
      </c>
      <c r="L950" s="1">
        <v>29.75</v>
      </c>
      <c r="M950">
        <v>1</v>
      </c>
    </row>
    <row r="951" spans="1:13" x14ac:dyDescent="0.2">
      <c r="A951" t="s">
        <v>1310</v>
      </c>
      <c r="B951" t="s">
        <v>14</v>
      </c>
      <c r="C951">
        <v>9360964000159</v>
      </c>
      <c r="D951" t="s">
        <v>188</v>
      </c>
      <c r="E951">
        <v>3</v>
      </c>
      <c r="F951" s="1">
        <v>49.05</v>
      </c>
      <c r="G951">
        <v>0</v>
      </c>
      <c r="H951" s="1">
        <v>0</v>
      </c>
      <c r="I951" s="1">
        <v>-1.64</v>
      </c>
      <c r="J951" s="1">
        <v>47.41</v>
      </c>
      <c r="K951" s="1">
        <v>4.8</v>
      </c>
      <c r="L951" s="1">
        <v>52.21</v>
      </c>
      <c r="M951">
        <v>3</v>
      </c>
    </row>
    <row r="952" spans="1:13" x14ac:dyDescent="0.2">
      <c r="A952" t="s">
        <v>1311</v>
      </c>
      <c r="B952" t="s">
        <v>14</v>
      </c>
      <c r="C952">
        <v>9360964000029</v>
      </c>
      <c r="D952" t="s">
        <v>188</v>
      </c>
      <c r="E952">
        <v>1</v>
      </c>
      <c r="F952" s="1">
        <v>63.53</v>
      </c>
      <c r="G952">
        <v>0</v>
      </c>
      <c r="H952" s="1">
        <v>0</v>
      </c>
      <c r="I952" s="1">
        <v>0</v>
      </c>
      <c r="J952" s="1">
        <v>63.53</v>
      </c>
      <c r="K952" s="1">
        <v>6.42</v>
      </c>
      <c r="L952" s="1">
        <v>69.95</v>
      </c>
      <c r="M952">
        <v>1</v>
      </c>
    </row>
    <row r="953" spans="1:13" x14ac:dyDescent="0.2">
      <c r="A953" t="s">
        <v>1312</v>
      </c>
      <c r="B953" t="s">
        <v>14</v>
      </c>
      <c r="C953">
        <v>9360964000227</v>
      </c>
      <c r="D953" t="s">
        <v>188</v>
      </c>
      <c r="E953">
        <v>1</v>
      </c>
      <c r="F953" s="1">
        <v>63.53</v>
      </c>
      <c r="G953">
        <v>0</v>
      </c>
      <c r="H953" s="1">
        <v>0</v>
      </c>
      <c r="I953" s="1">
        <v>0</v>
      </c>
      <c r="J953" s="1">
        <v>63.53</v>
      </c>
      <c r="K953" s="1">
        <v>6.42</v>
      </c>
      <c r="L953" s="1">
        <v>69.95</v>
      </c>
      <c r="M953">
        <v>1</v>
      </c>
    </row>
    <row r="954" spans="1:13" x14ac:dyDescent="0.2">
      <c r="A954" t="s">
        <v>1313</v>
      </c>
      <c r="B954" t="s">
        <v>14</v>
      </c>
      <c r="C954">
        <v>9360964000074</v>
      </c>
      <c r="D954" t="s">
        <v>188</v>
      </c>
      <c r="E954">
        <v>1</v>
      </c>
      <c r="F954" s="1">
        <v>63.87</v>
      </c>
      <c r="G954">
        <v>0</v>
      </c>
      <c r="H954" s="1">
        <v>0</v>
      </c>
      <c r="I954" s="1">
        <v>-3.8</v>
      </c>
      <c r="J954" s="1">
        <v>60.07</v>
      </c>
      <c r="K954" s="1">
        <v>6.08</v>
      </c>
      <c r="L954" s="1">
        <v>66.150000000000006</v>
      </c>
      <c r="M954">
        <v>1</v>
      </c>
    </row>
    <row r="955" spans="1:13" x14ac:dyDescent="0.2">
      <c r="A955" t="s">
        <v>1314</v>
      </c>
      <c r="B955" t="s">
        <v>14</v>
      </c>
      <c r="C955">
        <v>9351857005054</v>
      </c>
      <c r="D955" t="s">
        <v>188</v>
      </c>
      <c r="E955">
        <v>1</v>
      </c>
      <c r="F955" s="1">
        <v>21.2</v>
      </c>
      <c r="G955">
        <v>0</v>
      </c>
      <c r="H955" s="1">
        <v>0</v>
      </c>
      <c r="I955" s="1">
        <v>0</v>
      </c>
      <c r="J955" s="1">
        <v>21.2</v>
      </c>
      <c r="K955" s="1">
        <v>0</v>
      </c>
      <c r="L955" s="1">
        <v>21.2</v>
      </c>
      <c r="M955">
        <v>1</v>
      </c>
    </row>
    <row r="956" spans="1:13" x14ac:dyDescent="0.2">
      <c r="A956" t="s">
        <v>919</v>
      </c>
      <c r="B956" t="s">
        <v>14</v>
      </c>
      <c r="C956">
        <v>9351857005146</v>
      </c>
      <c r="D956" t="s">
        <v>188</v>
      </c>
      <c r="E956">
        <v>1</v>
      </c>
      <c r="F956" s="1">
        <v>34.69</v>
      </c>
      <c r="G956">
        <v>0</v>
      </c>
      <c r="H956" s="1">
        <v>0</v>
      </c>
      <c r="I956" s="1">
        <v>0</v>
      </c>
      <c r="J956" s="1">
        <v>34.69</v>
      </c>
      <c r="K956" s="1">
        <v>3.51</v>
      </c>
      <c r="L956" s="1">
        <v>38.200000000000003</v>
      </c>
      <c r="M956">
        <v>1</v>
      </c>
    </row>
    <row r="957" spans="1:13" x14ac:dyDescent="0.2">
      <c r="A957" t="s">
        <v>920</v>
      </c>
      <c r="B957" t="s">
        <v>14</v>
      </c>
      <c r="C957">
        <v>9354444002665</v>
      </c>
      <c r="D957" t="s">
        <v>188</v>
      </c>
      <c r="E957">
        <v>1</v>
      </c>
      <c r="F957" s="1">
        <v>49.9</v>
      </c>
      <c r="G957">
        <v>0</v>
      </c>
      <c r="H957" s="1">
        <v>0</v>
      </c>
      <c r="I957" s="1">
        <v>0</v>
      </c>
      <c r="J957" s="1">
        <v>49.9</v>
      </c>
      <c r="K957" s="1">
        <v>5.05</v>
      </c>
      <c r="L957" s="1">
        <v>54.95</v>
      </c>
      <c r="M957">
        <v>1</v>
      </c>
    </row>
    <row r="958" spans="1:13" x14ac:dyDescent="0.2">
      <c r="A958" t="s">
        <v>1315</v>
      </c>
      <c r="B958" t="s">
        <v>14</v>
      </c>
      <c r="C958">
        <v>9354444000104</v>
      </c>
      <c r="D958" t="s">
        <v>188</v>
      </c>
      <c r="E958">
        <v>2</v>
      </c>
      <c r="F958" s="1">
        <v>83.46</v>
      </c>
      <c r="G958">
        <v>0</v>
      </c>
      <c r="H958" s="1">
        <v>0</v>
      </c>
      <c r="I958" s="1">
        <v>0</v>
      </c>
      <c r="J958" s="1">
        <v>83.46</v>
      </c>
      <c r="K958" s="1">
        <v>8.44</v>
      </c>
      <c r="L958" s="1">
        <v>91.9</v>
      </c>
      <c r="M958">
        <v>2</v>
      </c>
    </row>
    <row r="959" spans="1:13" x14ac:dyDescent="0.2">
      <c r="A959" t="s">
        <v>383</v>
      </c>
      <c r="B959" t="s">
        <v>14</v>
      </c>
      <c r="C959">
        <v>9354444002405</v>
      </c>
      <c r="D959" t="s">
        <v>188</v>
      </c>
      <c r="E959">
        <v>3</v>
      </c>
      <c r="F959" s="1">
        <v>199.25</v>
      </c>
      <c r="G959">
        <v>0</v>
      </c>
      <c r="H959" s="1">
        <v>0</v>
      </c>
      <c r="I959" s="1">
        <v>-3.96</v>
      </c>
      <c r="J959" s="1">
        <v>195.29</v>
      </c>
      <c r="K959" s="1">
        <v>19.75</v>
      </c>
      <c r="L959" s="1">
        <v>215.04</v>
      </c>
      <c r="M959">
        <v>3</v>
      </c>
    </row>
    <row r="960" spans="1:13" x14ac:dyDescent="0.2">
      <c r="A960" t="s">
        <v>1316</v>
      </c>
      <c r="B960" t="s">
        <v>14</v>
      </c>
      <c r="C960">
        <v>9354444002382</v>
      </c>
      <c r="D960" t="s">
        <v>188</v>
      </c>
      <c r="E960">
        <v>1</v>
      </c>
      <c r="F960" s="1">
        <v>66.290000000000006</v>
      </c>
      <c r="G960">
        <v>0</v>
      </c>
      <c r="H960" s="1">
        <v>0</v>
      </c>
      <c r="I960" s="1">
        <v>0</v>
      </c>
      <c r="J960" s="1">
        <v>66.290000000000006</v>
      </c>
      <c r="K960" s="1">
        <v>6.71</v>
      </c>
      <c r="L960" s="1">
        <v>73</v>
      </c>
      <c r="M960">
        <v>1</v>
      </c>
    </row>
    <row r="961" spans="1:13" x14ac:dyDescent="0.2">
      <c r="A961" t="s">
        <v>1317</v>
      </c>
      <c r="B961" t="s">
        <v>14</v>
      </c>
      <c r="C961">
        <v>1992122</v>
      </c>
      <c r="D961" t="s">
        <v>188</v>
      </c>
      <c r="E961">
        <v>3</v>
      </c>
      <c r="F961" s="1">
        <v>13.08</v>
      </c>
      <c r="G961">
        <v>0</v>
      </c>
      <c r="H961" s="1">
        <v>0</v>
      </c>
      <c r="I961" s="1">
        <v>0</v>
      </c>
      <c r="J961" s="1">
        <v>13.08</v>
      </c>
      <c r="K961" s="1">
        <v>1.32</v>
      </c>
      <c r="L961" s="1">
        <v>14.4</v>
      </c>
      <c r="M961">
        <v>3</v>
      </c>
    </row>
    <row r="962" spans="1:13" x14ac:dyDescent="0.2">
      <c r="A962" t="s">
        <v>1318</v>
      </c>
      <c r="B962" t="s">
        <v>14</v>
      </c>
      <c r="C962">
        <v>9354444002092</v>
      </c>
      <c r="D962" t="s">
        <v>188</v>
      </c>
      <c r="E962">
        <v>1</v>
      </c>
      <c r="F962" s="1">
        <v>45.36</v>
      </c>
      <c r="G962">
        <v>0</v>
      </c>
      <c r="H962" s="1">
        <v>0</v>
      </c>
      <c r="I962" s="1">
        <v>0</v>
      </c>
      <c r="J962" s="1">
        <v>45.36</v>
      </c>
      <c r="K962" s="1">
        <v>4.59</v>
      </c>
      <c r="L962" s="1">
        <v>49.95</v>
      </c>
      <c r="M962">
        <v>1</v>
      </c>
    </row>
    <row r="963" spans="1:13" x14ac:dyDescent="0.2">
      <c r="A963" t="s">
        <v>586</v>
      </c>
      <c r="B963" t="s">
        <v>14</v>
      </c>
      <c r="C963">
        <v>9354444000203</v>
      </c>
      <c r="D963" t="s">
        <v>188</v>
      </c>
      <c r="E963">
        <v>2</v>
      </c>
      <c r="F963" s="1">
        <v>172.92</v>
      </c>
      <c r="G963">
        <v>0</v>
      </c>
      <c r="H963" s="1">
        <v>0</v>
      </c>
      <c r="I963" s="1">
        <v>-5</v>
      </c>
      <c r="J963" s="1">
        <v>167.92</v>
      </c>
      <c r="K963" s="1">
        <v>16.98</v>
      </c>
      <c r="L963" s="1">
        <v>184.9</v>
      </c>
      <c r="M963">
        <v>2</v>
      </c>
    </row>
    <row r="964" spans="1:13" x14ac:dyDescent="0.2">
      <c r="A964" t="s">
        <v>587</v>
      </c>
      <c r="B964" t="s">
        <v>14</v>
      </c>
      <c r="C964">
        <v>9354444002030</v>
      </c>
      <c r="D964" t="s">
        <v>188</v>
      </c>
      <c r="E964">
        <v>1</v>
      </c>
      <c r="F964" s="1">
        <v>45.36</v>
      </c>
      <c r="G964">
        <v>0</v>
      </c>
      <c r="H964" s="1">
        <v>0</v>
      </c>
      <c r="I964" s="1">
        <v>0</v>
      </c>
      <c r="J964" s="1">
        <v>45.36</v>
      </c>
      <c r="K964" s="1">
        <v>4.59</v>
      </c>
      <c r="L964" s="1">
        <v>49.95</v>
      </c>
      <c r="M964">
        <v>1</v>
      </c>
    </row>
    <row r="965" spans="1:13" x14ac:dyDescent="0.2">
      <c r="A965" t="s">
        <v>1319</v>
      </c>
      <c r="B965" t="s">
        <v>14</v>
      </c>
      <c r="C965">
        <v>9354444002122</v>
      </c>
      <c r="D965" t="s">
        <v>188</v>
      </c>
      <c r="E965">
        <v>1</v>
      </c>
      <c r="F965" s="1">
        <v>45.36</v>
      </c>
      <c r="G965">
        <v>0</v>
      </c>
      <c r="H965" s="1">
        <v>0</v>
      </c>
      <c r="I965" s="1">
        <v>0</v>
      </c>
      <c r="J965" s="1">
        <v>45.36</v>
      </c>
      <c r="K965" s="1">
        <v>4.59</v>
      </c>
      <c r="L965" s="1">
        <v>49.95</v>
      </c>
      <c r="M965">
        <v>1</v>
      </c>
    </row>
    <row r="966" spans="1:13" x14ac:dyDescent="0.2">
      <c r="A966" t="s">
        <v>189</v>
      </c>
      <c r="B966" t="s">
        <v>190</v>
      </c>
      <c r="C966" t="s">
        <v>191</v>
      </c>
      <c r="D966" t="s">
        <v>192</v>
      </c>
      <c r="E966">
        <v>27</v>
      </c>
      <c r="F966" s="1">
        <v>147.15</v>
      </c>
      <c r="G966">
        <v>0</v>
      </c>
      <c r="H966" s="1">
        <v>0</v>
      </c>
      <c r="I966" s="1">
        <v>0</v>
      </c>
      <c r="J966" s="1">
        <v>147.15</v>
      </c>
      <c r="K966" s="1">
        <v>14.85</v>
      </c>
      <c r="L966" s="1">
        <v>162</v>
      </c>
      <c r="M966">
        <v>27</v>
      </c>
    </row>
    <row r="967" spans="1:13" x14ac:dyDescent="0.2">
      <c r="A967" t="s">
        <v>189</v>
      </c>
      <c r="B967" t="s">
        <v>193</v>
      </c>
      <c r="C967">
        <v>5065938</v>
      </c>
      <c r="D967" t="s">
        <v>192</v>
      </c>
      <c r="E967">
        <v>37</v>
      </c>
      <c r="F967" s="1">
        <v>300.95</v>
      </c>
      <c r="G967">
        <v>0</v>
      </c>
      <c r="H967" s="1">
        <v>0</v>
      </c>
      <c r="I967" s="1">
        <v>-1.79</v>
      </c>
      <c r="J967" s="1">
        <v>299.16000000000003</v>
      </c>
      <c r="K967" s="1">
        <v>30.2</v>
      </c>
      <c r="L967" s="1">
        <v>329.36</v>
      </c>
      <c r="M967">
        <v>37</v>
      </c>
    </row>
    <row r="968" spans="1:13" x14ac:dyDescent="0.2">
      <c r="A968" t="s">
        <v>189</v>
      </c>
      <c r="B968" t="s">
        <v>194</v>
      </c>
      <c r="C968">
        <v>7053389</v>
      </c>
      <c r="D968" t="s">
        <v>192</v>
      </c>
      <c r="E968">
        <v>20</v>
      </c>
      <c r="F968" s="1">
        <v>155.81</v>
      </c>
      <c r="G968">
        <v>0</v>
      </c>
      <c r="H968" s="1">
        <v>0</v>
      </c>
      <c r="I968" s="1">
        <v>-15.3</v>
      </c>
      <c r="J968" s="1">
        <v>140.51</v>
      </c>
      <c r="K968" s="1">
        <v>14.19</v>
      </c>
      <c r="L968" s="1">
        <v>154.69999999999999</v>
      </c>
      <c r="M968">
        <v>20</v>
      </c>
    </row>
    <row r="969" spans="1:13" x14ac:dyDescent="0.2">
      <c r="A969" t="s">
        <v>189</v>
      </c>
      <c r="B969" t="s">
        <v>195</v>
      </c>
      <c r="C969" t="s">
        <v>196</v>
      </c>
      <c r="D969" t="s">
        <v>192</v>
      </c>
      <c r="E969">
        <v>14</v>
      </c>
      <c r="F969" s="1">
        <v>89.1</v>
      </c>
      <c r="G969">
        <v>0</v>
      </c>
      <c r="H969" s="1">
        <v>0</v>
      </c>
      <c r="I969" s="1">
        <v>-0.78</v>
      </c>
      <c r="J969" s="1">
        <v>88.32</v>
      </c>
      <c r="K969" s="1">
        <v>8.9</v>
      </c>
      <c r="L969" s="1">
        <v>97.22</v>
      </c>
      <c r="M969">
        <v>14</v>
      </c>
    </row>
    <row r="970" spans="1:13" x14ac:dyDescent="0.2">
      <c r="A970" t="s">
        <v>189</v>
      </c>
      <c r="B970" t="s">
        <v>197</v>
      </c>
      <c r="C970">
        <v>1774868</v>
      </c>
      <c r="D970" t="s">
        <v>192</v>
      </c>
      <c r="E970">
        <v>18</v>
      </c>
      <c r="F970" s="1">
        <v>149.12</v>
      </c>
      <c r="G970">
        <v>0</v>
      </c>
      <c r="H970" s="1">
        <v>0</v>
      </c>
      <c r="I970" s="1">
        <v>-11.7</v>
      </c>
      <c r="J970" s="1">
        <v>137.41999999999999</v>
      </c>
      <c r="K970" s="1">
        <v>13.88</v>
      </c>
      <c r="L970" s="1">
        <v>151.30000000000001</v>
      </c>
      <c r="M970">
        <v>18</v>
      </c>
    </row>
    <row r="971" spans="1:13" x14ac:dyDescent="0.2">
      <c r="A971" t="s">
        <v>198</v>
      </c>
      <c r="B971" t="s">
        <v>199</v>
      </c>
      <c r="C971" t="s">
        <v>200</v>
      </c>
      <c r="D971" t="s">
        <v>192</v>
      </c>
      <c r="E971">
        <v>14</v>
      </c>
      <c r="F971" s="1">
        <v>108.08</v>
      </c>
      <c r="G971">
        <v>0</v>
      </c>
      <c r="H971" s="1">
        <v>0</v>
      </c>
      <c r="I971" s="1">
        <v>0</v>
      </c>
      <c r="J971" s="1">
        <v>108.08</v>
      </c>
      <c r="K971" s="1">
        <v>10.92</v>
      </c>
      <c r="L971" s="1">
        <v>119</v>
      </c>
      <c r="M971">
        <v>14</v>
      </c>
    </row>
    <row r="972" spans="1:13" x14ac:dyDescent="0.2">
      <c r="A972" t="s">
        <v>198</v>
      </c>
      <c r="B972" t="s">
        <v>201</v>
      </c>
      <c r="C972" t="s">
        <v>202</v>
      </c>
      <c r="D972" t="s">
        <v>192</v>
      </c>
      <c r="E972">
        <v>5</v>
      </c>
      <c r="F972" s="1">
        <v>27.42</v>
      </c>
      <c r="G972">
        <v>0</v>
      </c>
      <c r="H972" s="1">
        <v>0</v>
      </c>
      <c r="I972" s="1">
        <v>-1.86</v>
      </c>
      <c r="J972" s="1">
        <v>25.56</v>
      </c>
      <c r="K972" s="1">
        <v>2.58</v>
      </c>
      <c r="L972" s="1">
        <v>28.14</v>
      </c>
      <c r="M972">
        <v>5</v>
      </c>
    </row>
    <row r="973" spans="1:13" x14ac:dyDescent="0.2">
      <c r="A973" t="s">
        <v>198</v>
      </c>
      <c r="B973" t="s">
        <v>203</v>
      </c>
      <c r="C973">
        <v>7276850</v>
      </c>
      <c r="D973" t="s">
        <v>192</v>
      </c>
      <c r="E973">
        <v>13</v>
      </c>
      <c r="F973" s="1">
        <v>70.88</v>
      </c>
      <c r="G973">
        <v>0</v>
      </c>
      <c r="H973" s="1">
        <v>0</v>
      </c>
      <c r="I973" s="1">
        <v>0</v>
      </c>
      <c r="J973" s="1">
        <v>70.88</v>
      </c>
      <c r="K973" s="1">
        <v>7.12</v>
      </c>
      <c r="L973" s="1">
        <v>78</v>
      </c>
      <c r="M973">
        <v>13</v>
      </c>
    </row>
    <row r="974" spans="1:13" x14ac:dyDescent="0.2">
      <c r="A974" t="s">
        <v>198</v>
      </c>
      <c r="B974" t="s">
        <v>204</v>
      </c>
      <c r="C974" t="s">
        <v>205</v>
      </c>
      <c r="D974" t="s">
        <v>192</v>
      </c>
      <c r="E974">
        <v>12</v>
      </c>
      <c r="F974" s="1">
        <v>87.19</v>
      </c>
      <c r="G974">
        <v>0</v>
      </c>
      <c r="H974" s="1">
        <v>0</v>
      </c>
      <c r="I974" s="1">
        <v>0</v>
      </c>
      <c r="J974" s="1">
        <v>87.19</v>
      </c>
      <c r="K974" s="1">
        <v>8.81</v>
      </c>
      <c r="L974" s="1">
        <v>96</v>
      </c>
      <c r="M974">
        <v>12</v>
      </c>
    </row>
    <row r="975" spans="1:13" x14ac:dyDescent="0.2">
      <c r="A975" t="s">
        <v>198</v>
      </c>
      <c r="B975" t="s">
        <v>206</v>
      </c>
      <c r="C975" t="s">
        <v>207</v>
      </c>
      <c r="D975" t="s">
        <v>192</v>
      </c>
      <c r="E975">
        <v>5</v>
      </c>
      <c r="F975" s="1">
        <v>22.7</v>
      </c>
      <c r="G975">
        <v>0</v>
      </c>
      <c r="H975" s="1">
        <v>0</v>
      </c>
      <c r="I975" s="1">
        <v>0</v>
      </c>
      <c r="J975" s="1">
        <v>22.7</v>
      </c>
      <c r="K975" s="1">
        <v>2.2999999999999998</v>
      </c>
      <c r="L975" s="1">
        <v>25</v>
      </c>
      <c r="M975">
        <v>5</v>
      </c>
    </row>
    <row r="976" spans="1:13" x14ac:dyDescent="0.2">
      <c r="A976" t="s">
        <v>198</v>
      </c>
      <c r="B976" t="s">
        <v>208</v>
      </c>
      <c r="C976" t="s">
        <v>209</v>
      </c>
      <c r="D976" t="s">
        <v>192</v>
      </c>
      <c r="E976">
        <v>5</v>
      </c>
      <c r="F976" s="1">
        <v>27.34</v>
      </c>
      <c r="G976">
        <v>0</v>
      </c>
      <c r="H976" s="1">
        <v>0</v>
      </c>
      <c r="I976" s="1">
        <v>-1.02</v>
      </c>
      <c r="J976" s="1">
        <v>26.32</v>
      </c>
      <c r="K976" s="1">
        <v>2.66</v>
      </c>
      <c r="L976" s="1">
        <v>28.98</v>
      </c>
      <c r="M976">
        <v>5</v>
      </c>
    </row>
    <row r="977" spans="1:13" x14ac:dyDescent="0.2">
      <c r="A977" t="s">
        <v>198</v>
      </c>
      <c r="B977" t="s">
        <v>210</v>
      </c>
      <c r="C977" t="s">
        <v>211</v>
      </c>
      <c r="D977" t="s">
        <v>192</v>
      </c>
      <c r="E977">
        <v>4</v>
      </c>
      <c r="F977" s="1">
        <v>29.07</v>
      </c>
      <c r="G977">
        <v>0</v>
      </c>
      <c r="H977" s="1">
        <v>0</v>
      </c>
      <c r="I977" s="1">
        <v>0</v>
      </c>
      <c r="J977" s="1">
        <v>29.07</v>
      </c>
      <c r="K977" s="1">
        <v>2.93</v>
      </c>
      <c r="L977" s="1">
        <v>32</v>
      </c>
      <c r="M977">
        <v>4</v>
      </c>
    </row>
    <row r="978" spans="1:13" x14ac:dyDescent="0.2">
      <c r="A978" t="s">
        <v>198</v>
      </c>
      <c r="B978" t="s">
        <v>212</v>
      </c>
      <c r="C978" t="s">
        <v>213</v>
      </c>
      <c r="D978" t="s">
        <v>192</v>
      </c>
      <c r="E978">
        <v>14</v>
      </c>
      <c r="F978" s="1">
        <v>95.86</v>
      </c>
      <c r="G978">
        <v>0</v>
      </c>
      <c r="H978" s="1">
        <v>0</v>
      </c>
      <c r="I978" s="1">
        <v>-5.37</v>
      </c>
      <c r="J978" s="1">
        <v>90.49</v>
      </c>
      <c r="K978" s="1">
        <v>9.14</v>
      </c>
      <c r="L978" s="1">
        <v>99.63</v>
      </c>
      <c r="M978">
        <v>14</v>
      </c>
    </row>
    <row r="979" spans="1:13" x14ac:dyDescent="0.2">
      <c r="A979" t="s">
        <v>198</v>
      </c>
      <c r="B979" t="s">
        <v>214</v>
      </c>
      <c r="C979" t="s">
        <v>215</v>
      </c>
      <c r="D979" t="s">
        <v>192</v>
      </c>
      <c r="E979">
        <v>2</v>
      </c>
      <c r="F979" s="1">
        <v>9.99</v>
      </c>
      <c r="G979">
        <v>0</v>
      </c>
      <c r="H979" s="1">
        <v>0</v>
      </c>
      <c r="I979" s="1">
        <v>0</v>
      </c>
      <c r="J979" s="1">
        <v>9.99</v>
      </c>
      <c r="K979" s="1">
        <v>1.01</v>
      </c>
      <c r="L979" s="1">
        <v>11</v>
      </c>
      <c r="M979">
        <v>2</v>
      </c>
    </row>
    <row r="980" spans="1:13" x14ac:dyDescent="0.2">
      <c r="A980" t="s">
        <v>216</v>
      </c>
      <c r="B980" t="s">
        <v>217</v>
      </c>
      <c r="C980" t="s">
        <v>218</v>
      </c>
      <c r="D980" t="s">
        <v>192</v>
      </c>
      <c r="E980">
        <v>4</v>
      </c>
      <c r="F980" s="1">
        <v>25.24</v>
      </c>
      <c r="G980">
        <v>0</v>
      </c>
      <c r="H980" s="1">
        <v>0</v>
      </c>
      <c r="I980" s="1">
        <v>0</v>
      </c>
      <c r="J980" s="1">
        <v>25.24</v>
      </c>
      <c r="K980" s="1">
        <v>2.56</v>
      </c>
      <c r="L980" s="1">
        <v>27.8</v>
      </c>
      <c r="M980">
        <v>4</v>
      </c>
    </row>
    <row r="981" spans="1:13" x14ac:dyDescent="0.2">
      <c r="A981" t="s">
        <v>216</v>
      </c>
      <c r="B981" t="s">
        <v>219</v>
      </c>
      <c r="C981" t="s">
        <v>220</v>
      </c>
      <c r="D981" t="s">
        <v>192</v>
      </c>
      <c r="E981">
        <v>11</v>
      </c>
      <c r="F981" s="1">
        <v>79.89</v>
      </c>
      <c r="G981">
        <v>0</v>
      </c>
      <c r="H981" s="1">
        <v>0</v>
      </c>
      <c r="I981" s="1">
        <v>-5</v>
      </c>
      <c r="J981" s="1">
        <v>74.89</v>
      </c>
      <c r="K981" s="1">
        <v>7.56</v>
      </c>
      <c r="L981" s="1">
        <v>82.45</v>
      </c>
      <c r="M981">
        <v>11</v>
      </c>
    </row>
    <row r="982" spans="1:13" x14ac:dyDescent="0.2">
      <c r="A982" t="s">
        <v>216</v>
      </c>
      <c r="B982" t="s">
        <v>357</v>
      </c>
      <c r="C982" t="s">
        <v>358</v>
      </c>
      <c r="D982" t="s">
        <v>192</v>
      </c>
      <c r="E982">
        <v>5</v>
      </c>
      <c r="F982" s="1">
        <v>20.49</v>
      </c>
      <c r="G982">
        <v>0</v>
      </c>
      <c r="H982" s="1">
        <v>0</v>
      </c>
      <c r="I982" s="1">
        <v>-0.45</v>
      </c>
      <c r="J982" s="1">
        <v>20.04</v>
      </c>
      <c r="K982" s="1">
        <v>2.0099999999999998</v>
      </c>
      <c r="L982" s="1">
        <v>22.05</v>
      </c>
      <c r="M982">
        <v>5</v>
      </c>
    </row>
    <row r="983" spans="1:13" x14ac:dyDescent="0.2">
      <c r="A983" t="s">
        <v>216</v>
      </c>
      <c r="B983" t="s">
        <v>221</v>
      </c>
      <c r="C983">
        <v>6948047</v>
      </c>
      <c r="D983" t="s">
        <v>192</v>
      </c>
      <c r="E983">
        <v>4</v>
      </c>
      <c r="F983" s="1">
        <v>25.24</v>
      </c>
      <c r="G983">
        <v>0</v>
      </c>
      <c r="H983" s="1">
        <v>0</v>
      </c>
      <c r="I983" s="1">
        <v>0</v>
      </c>
      <c r="J983" s="1">
        <v>25.24</v>
      </c>
      <c r="K983" s="1">
        <v>2.56</v>
      </c>
      <c r="L983" s="1">
        <v>27.8</v>
      </c>
      <c r="M983">
        <v>4</v>
      </c>
    </row>
    <row r="984" spans="1:13" x14ac:dyDescent="0.2">
      <c r="A984" t="s">
        <v>216</v>
      </c>
      <c r="B984" t="s">
        <v>222</v>
      </c>
      <c r="C984" t="s">
        <v>223</v>
      </c>
      <c r="D984" t="s">
        <v>192</v>
      </c>
      <c r="E984">
        <v>8</v>
      </c>
      <c r="F984" s="1">
        <v>57.76</v>
      </c>
      <c r="G984">
        <v>0</v>
      </c>
      <c r="H984" s="1">
        <v>0</v>
      </c>
      <c r="I984" s="1">
        <v>0</v>
      </c>
      <c r="J984" s="1">
        <v>57.76</v>
      </c>
      <c r="K984" s="1">
        <v>5.84</v>
      </c>
      <c r="L984" s="1">
        <v>63.6</v>
      </c>
      <c r="M984">
        <v>8</v>
      </c>
    </row>
    <row r="985" spans="1:13" x14ac:dyDescent="0.2">
      <c r="A985" t="s">
        <v>216</v>
      </c>
      <c r="B985" t="s">
        <v>359</v>
      </c>
      <c r="C985" t="s">
        <v>360</v>
      </c>
      <c r="D985" t="s">
        <v>192</v>
      </c>
      <c r="E985">
        <v>6</v>
      </c>
      <c r="F985" s="1">
        <v>37.869999999999997</v>
      </c>
      <c r="G985">
        <v>0</v>
      </c>
      <c r="H985" s="1">
        <v>0</v>
      </c>
      <c r="I985" s="1">
        <v>0</v>
      </c>
      <c r="J985" s="1">
        <v>37.869999999999997</v>
      </c>
      <c r="K985" s="1">
        <v>3.83</v>
      </c>
      <c r="L985" s="1">
        <v>41.7</v>
      </c>
      <c r="M985">
        <v>6</v>
      </c>
    </row>
    <row r="986" spans="1:13" x14ac:dyDescent="0.2">
      <c r="A986" t="s">
        <v>216</v>
      </c>
      <c r="B986" t="s">
        <v>437</v>
      </c>
      <c r="C986">
        <v>3392105</v>
      </c>
      <c r="D986" t="s">
        <v>192</v>
      </c>
      <c r="E986">
        <v>1</v>
      </c>
      <c r="F986" s="1">
        <v>5.68</v>
      </c>
      <c r="G986">
        <v>0</v>
      </c>
      <c r="H986" s="1">
        <v>0</v>
      </c>
      <c r="I986" s="1">
        <v>0</v>
      </c>
      <c r="J986" s="1">
        <v>5.68</v>
      </c>
      <c r="K986" s="1">
        <v>0.56999999999999995</v>
      </c>
      <c r="L986" s="1">
        <v>6.25</v>
      </c>
      <c r="M986">
        <v>1</v>
      </c>
    </row>
    <row r="987" spans="1:13" x14ac:dyDescent="0.2">
      <c r="A987" t="s">
        <v>216</v>
      </c>
      <c r="B987" t="s">
        <v>224</v>
      </c>
      <c r="C987" t="s">
        <v>225</v>
      </c>
      <c r="D987" t="s">
        <v>192</v>
      </c>
      <c r="E987">
        <v>8</v>
      </c>
      <c r="F987" s="1">
        <v>57.99</v>
      </c>
      <c r="G987">
        <v>0</v>
      </c>
      <c r="H987" s="1">
        <v>0</v>
      </c>
      <c r="I987" s="1">
        <v>-2.58</v>
      </c>
      <c r="J987" s="1">
        <v>55.41</v>
      </c>
      <c r="K987" s="1">
        <v>5.61</v>
      </c>
      <c r="L987" s="1">
        <v>61.02</v>
      </c>
      <c r="M987">
        <v>8</v>
      </c>
    </row>
    <row r="988" spans="1:13" x14ac:dyDescent="0.2">
      <c r="A988" t="s">
        <v>216</v>
      </c>
      <c r="B988" t="s">
        <v>226</v>
      </c>
      <c r="C988" t="s">
        <v>227</v>
      </c>
      <c r="D988" t="s">
        <v>192</v>
      </c>
      <c r="E988">
        <v>8</v>
      </c>
      <c r="F988" s="1">
        <v>50.49</v>
      </c>
      <c r="G988">
        <v>0</v>
      </c>
      <c r="H988" s="1">
        <v>0</v>
      </c>
      <c r="I988" s="1">
        <v>0</v>
      </c>
      <c r="J988" s="1">
        <v>50.49</v>
      </c>
      <c r="K988" s="1">
        <v>5.1100000000000003</v>
      </c>
      <c r="L988" s="1">
        <v>55.6</v>
      </c>
      <c r="M988">
        <v>8</v>
      </c>
    </row>
    <row r="989" spans="1:13" x14ac:dyDescent="0.2">
      <c r="A989" t="s">
        <v>216</v>
      </c>
      <c r="B989" t="s">
        <v>438</v>
      </c>
      <c r="C989" t="s">
        <v>439</v>
      </c>
      <c r="D989" t="s">
        <v>192</v>
      </c>
      <c r="E989">
        <v>5</v>
      </c>
      <c r="F989" s="1">
        <v>25.23</v>
      </c>
      <c r="G989">
        <v>0</v>
      </c>
      <c r="H989" s="1">
        <v>0</v>
      </c>
      <c r="I989" s="1">
        <v>-2.85</v>
      </c>
      <c r="J989" s="1">
        <v>22.38</v>
      </c>
      <c r="K989" s="1">
        <v>2.27</v>
      </c>
      <c r="L989" s="1">
        <v>24.65</v>
      </c>
      <c r="M989">
        <v>5</v>
      </c>
    </row>
    <row r="990" spans="1:13" x14ac:dyDescent="0.2">
      <c r="A990" t="s">
        <v>216</v>
      </c>
      <c r="B990" t="s">
        <v>361</v>
      </c>
      <c r="C990" t="s">
        <v>362</v>
      </c>
      <c r="D990" t="s">
        <v>192</v>
      </c>
      <c r="E990">
        <v>13</v>
      </c>
      <c r="F990" s="1">
        <v>82.16</v>
      </c>
      <c r="G990">
        <v>0</v>
      </c>
      <c r="H990" s="1">
        <v>0</v>
      </c>
      <c r="I990" s="1">
        <v>-1.2</v>
      </c>
      <c r="J990" s="1">
        <v>80.959999999999994</v>
      </c>
      <c r="K990" s="1">
        <v>8.19</v>
      </c>
      <c r="L990" s="1">
        <v>89.15</v>
      </c>
      <c r="M990">
        <v>13</v>
      </c>
    </row>
    <row r="991" spans="1:13" x14ac:dyDescent="0.2">
      <c r="A991" t="s">
        <v>1320</v>
      </c>
      <c r="B991" t="s">
        <v>14</v>
      </c>
      <c r="C991">
        <v>680275057932</v>
      </c>
      <c r="D991" t="s">
        <v>63</v>
      </c>
      <c r="E991">
        <v>1</v>
      </c>
      <c r="F991" s="1">
        <v>9.25</v>
      </c>
      <c r="G991">
        <v>0</v>
      </c>
      <c r="H991" s="1">
        <v>0</v>
      </c>
      <c r="I991" s="1">
        <v>0</v>
      </c>
      <c r="J991" s="1">
        <v>9.25</v>
      </c>
      <c r="K991" s="1">
        <v>0</v>
      </c>
      <c r="L991" s="1">
        <v>9.25</v>
      </c>
      <c r="M991">
        <v>1</v>
      </c>
    </row>
    <row r="992" spans="1:13" x14ac:dyDescent="0.2">
      <c r="A992" t="s">
        <v>1321</v>
      </c>
      <c r="B992" t="s">
        <v>14</v>
      </c>
      <c r="C992">
        <v>819005011528</v>
      </c>
      <c r="D992" t="s">
        <v>63</v>
      </c>
      <c r="E992">
        <v>1</v>
      </c>
      <c r="F992" s="1">
        <v>14.8</v>
      </c>
      <c r="G992">
        <v>0</v>
      </c>
      <c r="H992" s="1">
        <v>0</v>
      </c>
      <c r="I992" s="1">
        <v>0</v>
      </c>
      <c r="J992" s="1">
        <v>14.8</v>
      </c>
      <c r="K992" s="1">
        <v>0</v>
      </c>
      <c r="L992" s="1">
        <v>14.8</v>
      </c>
      <c r="M992">
        <v>1</v>
      </c>
    </row>
    <row r="993" spans="1:13" x14ac:dyDescent="0.2">
      <c r="A993" t="s">
        <v>923</v>
      </c>
      <c r="B993" t="s">
        <v>14</v>
      </c>
      <c r="C993">
        <v>819005010170</v>
      </c>
      <c r="D993" t="s">
        <v>63</v>
      </c>
      <c r="E993">
        <v>2</v>
      </c>
      <c r="F993" s="1">
        <v>31.8</v>
      </c>
      <c r="G993">
        <v>0</v>
      </c>
      <c r="H993" s="1">
        <v>0</v>
      </c>
      <c r="I993" s="1">
        <v>0</v>
      </c>
      <c r="J993" s="1">
        <v>31.8</v>
      </c>
      <c r="K993" s="1">
        <v>0</v>
      </c>
      <c r="L993" s="1">
        <v>31.8</v>
      </c>
      <c r="M993">
        <v>2</v>
      </c>
    </row>
    <row r="994" spans="1:13" x14ac:dyDescent="0.2">
      <c r="A994" t="s">
        <v>924</v>
      </c>
      <c r="B994" t="s">
        <v>14</v>
      </c>
      <c r="C994">
        <v>819005010286</v>
      </c>
      <c r="D994" t="s">
        <v>63</v>
      </c>
      <c r="E994">
        <v>2</v>
      </c>
      <c r="F994" s="1">
        <v>29.6</v>
      </c>
      <c r="G994">
        <v>0</v>
      </c>
      <c r="H994" s="1">
        <v>0</v>
      </c>
      <c r="I994" s="1">
        <v>0</v>
      </c>
      <c r="J994" s="1">
        <v>29.6</v>
      </c>
      <c r="K994" s="1">
        <v>0</v>
      </c>
      <c r="L994" s="1">
        <v>29.6</v>
      </c>
      <c r="M994">
        <v>2</v>
      </c>
    </row>
    <row r="995" spans="1:13" x14ac:dyDescent="0.2">
      <c r="A995" t="s">
        <v>1322</v>
      </c>
      <c r="B995" t="s">
        <v>14</v>
      </c>
      <c r="C995">
        <v>819005010361</v>
      </c>
      <c r="D995" t="s">
        <v>63</v>
      </c>
      <c r="E995">
        <v>1</v>
      </c>
      <c r="F995" s="1">
        <v>14.8</v>
      </c>
      <c r="G995">
        <v>0</v>
      </c>
      <c r="H995" s="1">
        <v>0</v>
      </c>
      <c r="I995" s="1">
        <v>0</v>
      </c>
      <c r="J995" s="1">
        <v>14.8</v>
      </c>
      <c r="K995" s="1">
        <v>0</v>
      </c>
      <c r="L995" s="1">
        <v>14.8</v>
      </c>
      <c r="M995">
        <v>1</v>
      </c>
    </row>
    <row r="996" spans="1:13" x14ac:dyDescent="0.2">
      <c r="A996" t="s">
        <v>925</v>
      </c>
      <c r="B996" t="s">
        <v>14</v>
      </c>
      <c r="C996">
        <v>819005010392</v>
      </c>
      <c r="D996" t="s">
        <v>63</v>
      </c>
      <c r="E996">
        <v>1</v>
      </c>
      <c r="F996" s="1">
        <v>14.8</v>
      </c>
      <c r="G996">
        <v>0</v>
      </c>
      <c r="H996" s="1">
        <v>0</v>
      </c>
      <c r="I996" s="1">
        <v>0</v>
      </c>
      <c r="J996" s="1">
        <v>14.8</v>
      </c>
      <c r="K996" s="1">
        <v>0</v>
      </c>
      <c r="L996" s="1">
        <v>14.8</v>
      </c>
      <c r="M996">
        <v>1</v>
      </c>
    </row>
    <row r="997" spans="1:13" x14ac:dyDescent="0.2">
      <c r="A997" t="s">
        <v>1323</v>
      </c>
      <c r="B997" t="s">
        <v>14</v>
      </c>
      <c r="C997">
        <v>819005011511</v>
      </c>
      <c r="D997" t="s">
        <v>63</v>
      </c>
      <c r="E997">
        <v>1</v>
      </c>
      <c r="F997" s="1">
        <v>14.8</v>
      </c>
      <c r="G997">
        <v>0</v>
      </c>
      <c r="H997" s="1">
        <v>0</v>
      </c>
      <c r="I997" s="1">
        <v>0</v>
      </c>
      <c r="J997" s="1">
        <v>14.8</v>
      </c>
      <c r="K997" s="1">
        <v>0</v>
      </c>
      <c r="L997" s="1">
        <v>14.8</v>
      </c>
      <c r="M997">
        <v>1</v>
      </c>
    </row>
    <row r="998" spans="1:13" x14ac:dyDescent="0.2">
      <c r="A998" t="s">
        <v>1324</v>
      </c>
      <c r="B998" t="s">
        <v>14</v>
      </c>
      <c r="C998">
        <v>9421035973533</v>
      </c>
      <c r="D998" t="s">
        <v>63</v>
      </c>
      <c r="E998">
        <v>1</v>
      </c>
      <c r="F998" s="1">
        <v>9.25</v>
      </c>
      <c r="G998">
        <v>0</v>
      </c>
      <c r="H998" s="1">
        <v>0</v>
      </c>
      <c r="I998" s="1">
        <v>0</v>
      </c>
      <c r="J998" s="1">
        <v>9.25</v>
      </c>
      <c r="K998" s="1">
        <v>0</v>
      </c>
      <c r="L998" s="1">
        <v>9.25</v>
      </c>
      <c r="M998">
        <v>1</v>
      </c>
    </row>
    <row r="999" spans="1:13" x14ac:dyDescent="0.2">
      <c r="A999" t="s">
        <v>1325</v>
      </c>
      <c r="B999" t="s">
        <v>14</v>
      </c>
      <c r="C999">
        <v>680275029250</v>
      </c>
      <c r="D999" t="s">
        <v>63</v>
      </c>
      <c r="E999">
        <v>2</v>
      </c>
      <c r="F999" s="1">
        <v>17.5</v>
      </c>
      <c r="G999">
        <v>0</v>
      </c>
      <c r="H999" s="1">
        <v>0</v>
      </c>
      <c r="I999" s="1">
        <v>-0.88</v>
      </c>
      <c r="J999" s="1">
        <v>16.62</v>
      </c>
      <c r="K999" s="1">
        <v>0</v>
      </c>
      <c r="L999" s="1">
        <v>16.62</v>
      </c>
      <c r="M999">
        <v>2</v>
      </c>
    </row>
    <row r="1000" spans="1:13" x14ac:dyDescent="0.2">
      <c r="A1000" t="s">
        <v>926</v>
      </c>
      <c r="B1000" t="s">
        <v>14</v>
      </c>
      <c r="C1000">
        <v>680275029168</v>
      </c>
      <c r="D1000" t="s">
        <v>63</v>
      </c>
      <c r="E1000">
        <v>1</v>
      </c>
      <c r="F1000" s="1">
        <v>8.75</v>
      </c>
      <c r="G1000">
        <v>0</v>
      </c>
      <c r="H1000" s="1">
        <v>0</v>
      </c>
      <c r="I1000" s="1">
        <v>0</v>
      </c>
      <c r="J1000" s="1">
        <v>8.75</v>
      </c>
      <c r="K1000" s="1">
        <v>0</v>
      </c>
      <c r="L1000" s="1">
        <v>8.75</v>
      </c>
      <c r="M1000">
        <v>1</v>
      </c>
    </row>
    <row r="1001" spans="1:13" x14ac:dyDescent="0.2">
      <c r="A1001" t="s">
        <v>1326</v>
      </c>
      <c r="B1001" t="s">
        <v>14</v>
      </c>
      <c r="C1001">
        <v>680275029090</v>
      </c>
      <c r="D1001" t="s">
        <v>63</v>
      </c>
      <c r="E1001">
        <v>2</v>
      </c>
      <c r="F1001" s="1">
        <v>17.5</v>
      </c>
      <c r="G1001">
        <v>0</v>
      </c>
      <c r="H1001" s="1">
        <v>0</v>
      </c>
      <c r="I1001" s="1">
        <v>-8.75</v>
      </c>
      <c r="J1001" s="1">
        <v>8.75</v>
      </c>
      <c r="K1001" s="1">
        <v>0</v>
      </c>
      <c r="L1001" s="1">
        <v>8.75</v>
      </c>
      <c r="M1001">
        <v>2</v>
      </c>
    </row>
    <row r="1002" spans="1:13" x14ac:dyDescent="0.2">
      <c r="A1002" t="s">
        <v>1327</v>
      </c>
      <c r="B1002" t="s">
        <v>14</v>
      </c>
      <c r="C1002">
        <v>680275029151</v>
      </c>
      <c r="D1002" t="s">
        <v>63</v>
      </c>
      <c r="E1002">
        <v>2</v>
      </c>
      <c r="F1002" s="1">
        <v>17.5</v>
      </c>
      <c r="G1002">
        <v>0</v>
      </c>
      <c r="H1002" s="1">
        <v>0</v>
      </c>
      <c r="I1002" s="1">
        <v>-1.68</v>
      </c>
      <c r="J1002" s="1">
        <v>15.82</v>
      </c>
      <c r="K1002" s="1">
        <v>0</v>
      </c>
      <c r="L1002" s="1">
        <v>15.82</v>
      </c>
      <c r="M1002">
        <v>2</v>
      </c>
    </row>
    <row r="1003" spans="1:13" x14ac:dyDescent="0.2">
      <c r="A1003" t="s">
        <v>927</v>
      </c>
      <c r="B1003" t="s">
        <v>14</v>
      </c>
      <c r="C1003">
        <v>680275029106</v>
      </c>
      <c r="D1003" t="s">
        <v>63</v>
      </c>
      <c r="E1003">
        <v>1</v>
      </c>
      <c r="F1003" s="1">
        <v>8.75</v>
      </c>
      <c r="G1003">
        <v>0</v>
      </c>
      <c r="H1003" s="1">
        <v>0</v>
      </c>
      <c r="I1003" s="1">
        <v>0</v>
      </c>
      <c r="J1003" s="1">
        <v>8.75</v>
      </c>
      <c r="K1003" s="1">
        <v>0</v>
      </c>
      <c r="L1003" s="1">
        <v>8.75</v>
      </c>
      <c r="M1003">
        <v>1</v>
      </c>
    </row>
    <row r="1004" spans="1:13" x14ac:dyDescent="0.2">
      <c r="A1004" t="s">
        <v>928</v>
      </c>
      <c r="B1004" t="s">
        <v>14</v>
      </c>
      <c r="C1004">
        <v>9351857000158</v>
      </c>
      <c r="D1004" t="s">
        <v>63</v>
      </c>
      <c r="E1004">
        <v>1</v>
      </c>
      <c r="F1004" s="1">
        <v>18</v>
      </c>
      <c r="G1004">
        <v>0</v>
      </c>
      <c r="H1004" s="1">
        <v>0</v>
      </c>
      <c r="I1004" s="1">
        <v>0</v>
      </c>
      <c r="J1004" s="1">
        <v>18</v>
      </c>
      <c r="K1004" s="1">
        <v>0</v>
      </c>
      <c r="L1004" s="1">
        <v>18</v>
      </c>
      <c r="M1004">
        <v>1</v>
      </c>
    </row>
    <row r="1005" spans="1:13" x14ac:dyDescent="0.2">
      <c r="A1005" t="s">
        <v>929</v>
      </c>
      <c r="B1005" t="s">
        <v>14</v>
      </c>
      <c r="C1005">
        <v>9351857001506</v>
      </c>
      <c r="D1005" t="s">
        <v>63</v>
      </c>
      <c r="E1005">
        <v>1</v>
      </c>
      <c r="F1005" s="1">
        <v>19.100000000000001</v>
      </c>
      <c r="G1005">
        <v>0</v>
      </c>
      <c r="H1005" s="1">
        <v>0</v>
      </c>
      <c r="I1005" s="1">
        <v>0</v>
      </c>
      <c r="J1005" s="1">
        <v>19.100000000000001</v>
      </c>
      <c r="K1005" s="1">
        <v>0</v>
      </c>
      <c r="L1005" s="1">
        <v>19.100000000000001</v>
      </c>
      <c r="M1005">
        <v>1</v>
      </c>
    </row>
    <row r="1006" spans="1:13" x14ac:dyDescent="0.2">
      <c r="A1006" t="s">
        <v>930</v>
      </c>
      <c r="B1006" t="s">
        <v>14</v>
      </c>
      <c r="C1006">
        <v>9351857008062</v>
      </c>
      <c r="D1006" t="s">
        <v>63</v>
      </c>
      <c r="E1006">
        <v>1</v>
      </c>
      <c r="F1006" s="1">
        <v>17.95</v>
      </c>
      <c r="G1006">
        <v>0</v>
      </c>
      <c r="H1006" s="1">
        <v>0</v>
      </c>
      <c r="I1006" s="1">
        <v>0</v>
      </c>
      <c r="J1006" s="1">
        <v>17.95</v>
      </c>
      <c r="K1006" s="1">
        <v>0</v>
      </c>
      <c r="L1006" s="1">
        <v>17.95</v>
      </c>
      <c r="M1006">
        <v>1</v>
      </c>
    </row>
    <row r="1007" spans="1:13" x14ac:dyDescent="0.2">
      <c r="A1007" t="s">
        <v>1328</v>
      </c>
      <c r="B1007" t="s">
        <v>14</v>
      </c>
      <c r="C1007">
        <v>9351857000585</v>
      </c>
      <c r="D1007" t="s">
        <v>63</v>
      </c>
      <c r="E1007">
        <v>1</v>
      </c>
      <c r="F1007" s="1">
        <v>18</v>
      </c>
      <c r="G1007">
        <v>0</v>
      </c>
      <c r="H1007" s="1">
        <v>0</v>
      </c>
      <c r="I1007" s="1">
        <v>0</v>
      </c>
      <c r="J1007" s="1">
        <v>18</v>
      </c>
      <c r="K1007" s="1">
        <v>0</v>
      </c>
      <c r="L1007" s="1">
        <v>18</v>
      </c>
      <c r="M1007">
        <v>1</v>
      </c>
    </row>
    <row r="1008" spans="1:13" x14ac:dyDescent="0.2">
      <c r="A1008" t="s">
        <v>1329</v>
      </c>
      <c r="B1008" t="s">
        <v>14</v>
      </c>
      <c r="C1008">
        <v>619286718006</v>
      </c>
      <c r="D1008" t="s">
        <v>63</v>
      </c>
      <c r="E1008">
        <v>2</v>
      </c>
      <c r="F1008" s="1">
        <v>19</v>
      </c>
      <c r="G1008">
        <v>0</v>
      </c>
      <c r="H1008" s="1">
        <v>0</v>
      </c>
      <c r="I1008" s="1">
        <v>0</v>
      </c>
      <c r="J1008" s="1">
        <v>19</v>
      </c>
      <c r="K1008" s="1">
        <v>0</v>
      </c>
      <c r="L1008" s="1">
        <v>19</v>
      </c>
      <c r="M1008">
        <v>2</v>
      </c>
    </row>
    <row r="1009" spans="1:13" x14ac:dyDescent="0.2">
      <c r="A1009" t="s">
        <v>931</v>
      </c>
      <c r="B1009" t="s">
        <v>14</v>
      </c>
      <c r="C1009">
        <v>619286717009</v>
      </c>
      <c r="D1009" t="s">
        <v>63</v>
      </c>
      <c r="E1009">
        <v>1</v>
      </c>
      <c r="F1009" s="1">
        <v>9.5</v>
      </c>
      <c r="G1009">
        <v>0</v>
      </c>
      <c r="H1009" s="1">
        <v>0</v>
      </c>
      <c r="I1009" s="1">
        <v>0</v>
      </c>
      <c r="J1009" s="1">
        <v>9.5</v>
      </c>
      <c r="K1009" s="1">
        <v>0</v>
      </c>
      <c r="L1009" s="1">
        <v>9.5</v>
      </c>
      <c r="M1009">
        <v>1</v>
      </c>
    </row>
    <row r="1010" spans="1:13" x14ac:dyDescent="0.2">
      <c r="A1010" t="s">
        <v>932</v>
      </c>
      <c r="B1010" t="s">
        <v>14</v>
      </c>
      <c r="C1010">
        <v>6719297</v>
      </c>
      <c r="D1010" t="s">
        <v>63</v>
      </c>
      <c r="E1010">
        <v>2</v>
      </c>
      <c r="F1010" s="1">
        <v>20.399999999999999</v>
      </c>
      <c r="G1010">
        <v>0</v>
      </c>
      <c r="H1010" s="1">
        <v>0</v>
      </c>
      <c r="I1010" s="1">
        <v>0</v>
      </c>
      <c r="J1010" s="1">
        <v>20.399999999999999</v>
      </c>
      <c r="K1010" s="1">
        <v>0</v>
      </c>
      <c r="L1010" s="1">
        <v>20.399999999999999</v>
      </c>
      <c r="M1010">
        <v>2</v>
      </c>
    </row>
    <row r="1011" spans="1:13" x14ac:dyDescent="0.2">
      <c r="A1011" t="s">
        <v>1330</v>
      </c>
      <c r="B1011" t="s">
        <v>14</v>
      </c>
      <c r="C1011">
        <v>801541000524</v>
      </c>
      <c r="D1011" t="s">
        <v>63</v>
      </c>
      <c r="E1011">
        <v>2</v>
      </c>
      <c r="F1011" s="1">
        <v>20.399999999999999</v>
      </c>
      <c r="G1011">
        <v>0</v>
      </c>
      <c r="H1011" s="1">
        <v>0</v>
      </c>
      <c r="I1011" s="1">
        <v>0</v>
      </c>
      <c r="J1011" s="1">
        <v>20.399999999999999</v>
      </c>
      <c r="K1011" s="1">
        <v>0</v>
      </c>
      <c r="L1011" s="1">
        <v>20.399999999999999</v>
      </c>
      <c r="M1011">
        <v>2</v>
      </c>
    </row>
    <row r="1012" spans="1:13" x14ac:dyDescent="0.2">
      <c r="A1012" t="s">
        <v>933</v>
      </c>
      <c r="B1012" t="s">
        <v>14</v>
      </c>
      <c r="C1012">
        <v>801541000517</v>
      </c>
      <c r="D1012" t="s">
        <v>63</v>
      </c>
      <c r="E1012">
        <v>1</v>
      </c>
      <c r="F1012" s="1">
        <v>10.199999999999999</v>
      </c>
      <c r="G1012">
        <v>0</v>
      </c>
      <c r="H1012" s="1">
        <v>0</v>
      </c>
      <c r="I1012" s="1">
        <v>0</v>
      </c>
      <c r="J1012" s="1">
        <v>10.199999999999999</v>
      </c>
      <c r="K1012" s="1">
        <v>0</v>
      </c>
      <c r="L1012" s="1">
        <v>10.199999999999999</v>
      </c>
      <c r="M1012">
        <v>1</v>
      </c>
    </row>
    <row r="1013" spans="1:13" x14ac:dyDescent="0.2">
      <c r="A1013" t="s">
        <v>1331</v>
      </c>
      <c r="B1013" t="s">
        <v>14</v>
      </c>
      <c r="C1013">
        <v>801541000500</v>
      </c>
      <c r="D1013" t="s">
        <v>63</v>
      </c>
      <c r="E1013">
        <v>1</v>
      </c>
      <c r="F1013" s="1">
        <v>10.199999999999999</v>
      </c>
      <c r="G1013">
        <v>0</v>
      </c>
      <c r="H1013" s="1">
        <v>0</v>
      </c>
      <c r="I1013" s="1">
        <v>0</v>
      </c>
      <c r="J1013" s="1">
        <v>10.199999999999999</v>
      </c>
      <c r="K1013" s="1">
        <v>0</v>
      </c>
      <c r="L1013" s="1">
        <v>10.199999999999999</v>
      </c>
      <c r="M1013">
        <v>1</v>
      </c>
    </row>
    <row r="1014" spans="1:13" x14ac:dyDescent="0.2">
      <c r="A1014" t="s">
        <v>1332</v>
      </c>
      <c r="B1014" t="s">
        <v>14</v>
      </c>
      <c r="C1014">
        <v>801541050505</v>
      </c>
      <c r="D1014" t="s">
        <v>63</v>
      </c>
      <c r="E1014">
        <v>1</v>
      </c>
      <c r="F1014" s="1">
        <v>9</v>
      </c>
      <c r="G1014">
        <v>0</v>
      </c>
      <c r="H1014" s="1">
        <v>0</v>
      </c>
      <c r="I1014" s="1">
        <v>0</v>
      </c>
      <c r="J1014" s="1">
        <v>9</v>
      </c>
      <c r="K1014" s="1">
        <v>0</v>
      </c>
      <c r="L1014" s="1">
        <v>9</v>
      </c>
      <c r="M1014">
        <v>1</v>
      </c>
    </row>
    <row r="1015" spans="1:13" x14ac:dyDescent="0.2">
      <c r="A1015" t="s">
        <v>1333</v>
      </c>
      <c r="B1015" t="s">
        <v>14</v>
      </c>
      <c r="C1015">
        <v>801541500123</v>
      </c>
      <c r="D1015" t="s">
        <v>63</v>
      </c>
      <c r="E1015">
        <v>1</v>
      </c>
      <c r="F1015" s="1">
        <v>9</v>
      </c>
      <c r="G1015">
        <v>0</v>
      </c>
      <c r="H1015" s="1">
        <v>0</v>
      </c>
      <c r="I1015" s="1">
        <v>0</v>
      </c>
      <c r="J1015" s="1">
        <v>9</v>
      </c>
      <c r="K1015" s="1">
        <v>0</v>
      </c>
      <c r="L1015" s="1">
        <v>9</v>
      </c>
      <c r="M1015">
        <v>1</v>
      </c>
    </row>
    <row r="1016" spans="1:13" x14ac:dyDescent="0.2">
      <c r="A1016" t="s">
        <v>934</v>
      </c>
      <c r="B1016" t="s">
        <v>14</v>
      </c>
      <c r="C1016">
        <v>801541507580</v>
      </c>
      <c r="D1016" t="s">
        <v>63</v>
      </c>
      <c r="E1016">
        <v>2</v>
      </c>
      <c r="F1016" s="1">
        <v>18</v>
      </c>
      <c r="G1016">
        <v>0</v>
      </c>
      <c r="H1016" s="1">
        <v>0</v>
      </c>
      <c r="I1016" s="1">
        <v>0</v>
      </c>
      <c r="J1016" s="1">
        <v>18</v>
      </c>
      <c r="K1016" s="1">
        <v>0</v>
      </c>
      <c r="L1016" s="1">
        <v>18</v>
      </c>
      <c r="M1016">
        <v>2</v>
      </c>
    </row>
    <row r="1017" spans="1:13" x14ac:dyDescent="0.2">
      <c r="A1017" t="s">
        <v>1334</v>
      </c>
      <c r="B1017" t="s">
        <v>14</v>
      </c>
      <c r="C1017">
        <v>801541500161</v>
      </c>
      <c r="D1017" t="s">
        <v>63</v>
      </c>
      <c r="E1017">
        <v>2</v>
      </c>
      <c r="F1017" s="1">
        <v>18</v>
      </c>
      <c r="G1017">
        <v>0</v>
      </c>
      <c r="H1017" s="1">
        <v>0</v>
      </c>
      <c r="I1017" s="1">
        <v>0</v>
      </c>
      <c r="J1017" s="1">
        <v>18</v>
      </c>
      <c r="K1017" s="1">
        <v>0</v>
      </c>
      <c r="L1017" s="1">
        <v>18</v>
      </c>
      <c r="M1017">
        <v>2</v>
      </c>
    </row>
    <row r="1018" spans="1:13" x14ac:dyDescent="0.2">
      <c r="A1018" t="s">
        <v>935</v>
      </c>
      <c r="B1018" t="s">
        <v>14</v>
      </c>
      <c r="C1018">
        <v>653783000547</v>
      </c>
      <c r="D1018" t="s">
        <v>63</v>
      </c>
      <c r="E1018">
        <v>1</v>
      </c>
      <c r="F1018" s="1">
        <v>8.4499999999999993</v>
      </c>
      <c r="G1018">
        <v>0</v>
      </c>
      <c r="H1018" s="1">
        <v>0</v>
      </c>
      <c r="I1018" s="1">
        <v>0</v>
      </c>
      <c r="J1018" s="1">
        <v>8.4499999999999993</v>
      </c>
      <c r="K1018" s="1">
        <v>0</v>
      </c>
      <c r="L1018" s="1">
        <v>8.4499999999999993</v>
      </c>
      <c r="M1018">
        <v>1</v>
      </c>
    </row>
    <row r="1019" spans="1:13" x14ac:dyDescent="0.2">
      <c r="A1019" t="s">
        <v>936</v>
      </c>
      <c r="B1019" t="s">
        <v>14</v>
      </c>
      <c r="C1019">
        <v>9351693000855</v>
      </c>
      <c r="D1019" t="s">
        <v>63</v>
      </c>
      <c r="E1019">
        <v>3</v>
      </c>
      <c r="F1019" s="1">
        <v>32.85</v>
      </c>
      <c r="G1019">
        <v>0</v>
      </c>
      <c r="H1019" s="1">
        <v>0</v>
      </c>
      <c r="I1019" s="1">
        <v>-1.38</v>
      </c>
      <c r="J1019" s="1">
        <v>31.47</v>
      </c>
      <c r="K1019" s="1">
        <v>0</v>
      </c>
      <c r="L1019" s="1">
        <v>31.47</v>
      </c>
      <c r="M1019">
        <v>3</v>
      </c>
    </row>
    <row r="1020" spans="1:13" x14ac:dyDescent="0.2">
      <c r="A1020" t="s">
        <v>720</v>
      </c>
      <c r="B1020" t="s">
        <v>14</v>
      </c>
      <c r="C1020">
        <v>9351693000886</v>
      </c>
      <c r="D1020" t="s">
        <v>63</v>
      </c>
      <c r="E1020">
        <v>1</v>
      </c>
      <c r="F1020" s="1">
        <v>10.95</v>
      </c>
      <c r="G1020">
        <v>0</v>
      </c>
      <c r="H1020" s="1">
        <v>0</v>
      </c>
      <c r="I1020" s="1">
        <v>0</v>
      </c>
      <c r="J1020" s="1">
        <v>10.95</v>
      </c>
      <c r="K1020" s="1">
        <v>0</v>
      </c>
      <c r="L1020" s="1">
        <v>10.95</v>
      </c>
      <c r="M1020">
        <v>1</v>
      </c>
    </row>
    <row r="1021" spans="1:13" x14ac:dyDescent="0.2">
      <c r="A1021" t="s">
        <v>321</v>
      </c>
      <c r="B1021" t="s">
        <v>14</v>
      </c>
      <c r="C1021">
        <v>9351693000879</v>
      </c>
      <c r="D1021" t="s">
        <v>63</v>
      </c>
      <c r="E1021">
        <v>2</v>
      </c>
      <c r="F1021" s="1">
        <v>21.9</v>
      </c>
      <c r="G1021">
        <v>0</v>
      </c>
      <c r="H1021" s="1">
        <v>0</v>
      </c>
      <c r="I1021" s="1">
        <v>0</v>
      </c>
      <c r="J1021" s="1">
        <v>21.9</v>
      </c>
      <c r="K1021" s="1">
        <v>0</v>
      </c>
      <c r="L1021" s="1">
        <v>21.9</v>
      </c>
      <c r="M1021">
        <v>2</v>
      </c>
    </row>
    <row r="1022" spans="1:13" x14ac:dyDescent="0.2">
      <c r="A1022" t="s">
        <v>1335</v>
      </c>
      <c r="B1022" t="s">
        <v>14</v>
      </c>
      <c r="C1022">
        <v>722267722197</v>
      </c>
      <c r="D1022" t="s">
        <v>63</v>
      </c>
      <c r="E1022">
        <v>1</v>
      </c>
      <c r="F1022" s="1">
        <v>12.75</v>
      </c>
      <c r="G1022">
        <v>0</v>
      </c>
      <c r="H1022" s="1">
        <v>0</v>
      </c>
      <c r="I1022" s="1">
        <v>0</v>
      </c>
      <c r="J1022" s="1">
        <v>12.75</v>
      </c>
      <c r="K1022" s="1">
        <v>0</v>
      </c>
      <c r="L1022" s="1">
        <v>12.75</v>
      </c>
      <c r="M1022">
        <v>1</v>
      </c>
    </row>
    <row r="1023" spans="1:13" x14ac:dyDescent="0.2">
      <c r="A1023" t="s">
        <v>937</v>
      </c>
      <c r="B1023" t="s">
        <v>14</v>
      </c>
      <c r="C1023">
        <v>709402263760</v>
      </c>
      <c r="D1023" t="s">
        <v>63</v>
      </c>
      <c r="E1023">
        <v>1</v>
      </c>
      <c r="F1023" s="1">
        <v>12.75</v>
      </c>
      <c r="G1023">
        <v>0</v>
      </c>
      <c r="H1023" s="1">
        <v>0</v>
      </c>
      <c r="I1023" s="1">
        <v>0</v>
      </c>
      <c r="J1023" s="1">
        <v>12.75</v>
      </c>
      <c r="K1023" s="1">
        <v>0</v>
      </c>
      <c r="L1023" s="1">
        <v>12.75</v>
      </c>
      <c r="M1023">
        <v>1</v>
      </c>
    </row>
    <row r="1024" spans="1:13" x14ac:dyDescent="0.2">
      <c r="A1024" t="s">
        <v>588</v>
      </c>
      <c r="B1024" t="s">
        <v>14</v>
      </c>
      <c r="C1024">
        <v>759321993538</v>
      </c>
      <c r="D1024" t="s">
        <v>63</v>
      </c>
      <c r="E1024">
        <v>2</v>
      </c>
      <c r="F1024" s="1">
        <v>25.5</v>
      </c>
      <c r="G1024">
        <v>0</v>
      </c>
      <c r="H1024" s="1">
        <v>0</v>
      </c>
      <c r="I1024" s="1">
        <v>0</v>
      </c>
      <c r="J1024" s="1">
        <v>25.5</v>
      </c>
      <c r="K1024" s="1">
        <v>0</v>
      </c>
      <c r="L1024" s="1">
        <v>25.5</v>
      </c>
      <c r="M1024">
        <v>2</v>
      </c>
    </row>
    <row r="1025" spans="1:13" x14ac:dyDescent="0.2">
      <c r="A1025" t="s">
        <v>721</v>
      </c>
      <c r="B1025" t="s">
        <v>14</v>
      </c>
      <c r="C1025">
        <v>9421035971096</v>
      </c>
      <c r="D1025" t="s">
        <v>228</v>
      </c>
      <c r="E1025">
        <v>6</v>
      </c>
      <c r="F1025" s="1">
        <v>31.07</v>
      </c>
      <c r="G1025">
        <v>0</v>
      </c>
      <c r="H1025" s="1">
        <v>0</v>
      </c>
      <c r="I1025" s="1">
        <v>0</v>
      </c>
      <c r="J1025" s="1">
        <v>31.07</v>
      </c>
      <c r="K1025" s="1">
        <v>3.13</v>
      </c>
      <c r="L1025" s="1">
        <v>34.200000000000003</v>
      </c>
      <c r="M1025">
        <v>6</v>
      </c>
    </row>
    <row r="1026" spans="1:13" x14ac:dyDescent="0.2">
      <c r="A1026" t="s">
        <v>1336</v>
      </c>
      <c r="B1026" t="s">
        <v>14</v>
      </c>
      <c r="C1026">
        <v>9415748020981</v>
      </c>
      <c r="D1026" t="s">
        <v>228</v>
      </c>
      <c r="E1026">
        <v>3</v>
      </c>
      <c r="F1026" s="1">
        <v>13.58</v>
      </c>
      <c r="G1026">
        <v>0</v>
      </c>
      <c r="H1026" s="1">
        <v>0</v>
      </c>
      <c r="I1026" s="1">
        <v>-0.99</v>
      </c>
      <c r="J1026" s="1">
        <v>12.59</v>
      </c>
      <c r="K1026" s="1">
        <v>1.27</v>
      </c>
      <c r="L1026" s="1">
        <v>13.86</v>
      </c>
      <c r="M1026">
        <v>3</v>
      </c>
    </row>
    <row r="1027" spans="1:13" x14ac:dyDescent="0.2">
      <c r="A1027" t="s">
        <v>1337</v>
      </c>
      <c r="B1027" t="s">
        <v>14</v>
      </c>
      <c r="C1027">
        <v>851093004488</v>
      </c>
      <c r="D1027" t="s">
        <v>228</v>
      </c>
      <c r="E1027">
        <v>6</v>
      </c>
      <c r="F1027" s="1">
        <v>69.59</v>
      </c>
      <c r="G1027">
        <v>0</v>
      </c>
      <c r="H1027" s="1">
        <v>0</v>
      </c>
      <c r="I1027" s="1">
        <v>-3.81</v>
      </c>
      <c r="J1027" s="1">
        <v>65.78</v>
      </c>
      <c r="K1027" s="1">
        <v>6.61</v>
      </c>
      <c r="L1027" s="1">
        <v>72.39</v>
      </c>
      <c r="M1027">
        <v>6</v>
      </c>
    </row>
    <row r="1028" spans="1:13" x14ac:dyDescent="0.2">
      <c r="A1028" t="s">
        <v>1338</v>
      </c>
      <c r="B1028" t="s">
        <v>14</v>
      </c>
      <c r="C1028">
        <v>850023446183</v>
      </c>
      <c r="D1028" t="s">
        <v>228</v>
      </c>
      <c r="E1028">
        <v>4</v>
      </c>
      <c r="F1028" s="1">
        <v>38.32</v>
      </c>
      <c r="G1028">
        <v>0</v>
      </c>
      <c r="H1028" s="1">
        <v>0</v>
      </c>
      <c r="I1028" s="1">
        <v>0</v>
      </c>
      <c r="J1028" s="1">
        <v>38.32</v>
      </c>
      <c r="K1028" s="1">
        <v>3.88</v>
      </c>
      <c r="L1028" s="1">
        <v>42.2</v>
      </c>
      <c r="M1028">
        <v>4</v>
      </c>
    </row>
    <row r="1029" spans="1:13" x14ac:dyDescent="0.2">
      <c r="A1029" t="s">
        <v>440</v>
      </c>
      <c r="B1029" t="s">
        <v>14</v>
      </c>
      <c r="C1029">
        <v>9337961000666</v>
      </c>
      <c r="D1029" t="s">
        <v>228</v>
      </c>
      <c r="E1029">
        <v>2</v>
      </c>
      <c r="F1029" s="1">
        <v>23.32</v>
      </c>
      <c r="G1029">
        <v>0</v>
      </c>
      <c r="H1029" s="1">
        <v>0</v>
      </c>
      <c r="I1029" s="1">
        <v>-0.7</v>
      </c>
      <c r="J1029" s="1">
        <v>22.62</v>
      </c>
      <c r="K1029" s="1">
        <v>2.2799999999999998</v>
      </c>
      <c r="L1029" s="1">
        <v>24.9</v>
      </c>
      <c r="M1029">
        <v>2</v>
      </c>
    </row>
    <row r="1030" spans="1:13" x14ac:dyDescent="0.2">
      <c r="A1030" t="s">
        <v>938</v>
      </c>
      <c r="B1030" t="s">
        <v>14</v>
      </c>
      <c r="C1030">
        <v>9337961000925</v>
      </c>
      <c r="D1030" t="s">
        <v>228</v>
      </c>
      <c r="E1030">
        <v>2</v>
      </c>
      <c r="F1030" s="1">
        <v>4.59</v>
      </c>
      <c r="G1030">
        <v>0</v>
      </c>
      <c r="H1030" s="1">
        <v>0</v>
      </c>
      <c r="I1030" s="1">
        <v>-0.5</v>
      </c>
      <c r="J1030" s="1">
        <v>4.09</v>
      </c>
      <c r="K1030" s="1">
        <v>0.41</v>
      </c>
      <c r="L1030" s="1">
        <v>4.5</v>
      </c>
      <c r="M1030">
        <v>2</v>
      </c>
    </row>
    <row r="1031" spans="1:13" x14ac:dyDescent="0.2">
      <c r="A1031" t="s">
        <v>1339</v>
      </c>
      <c r="B1031" t="s">
        <v>14</v>
      </c>
      <c r="C1031">
        <v>9337961000918</v>
      </c>
      <c r="D1031" t="s">
        <v>228</v>
      </c>
      <c r="E1031">
        <v>2</v>
      </c>
      <c r="F1031" s="1">
        <v>4.54</v>
      </c>
      <c r="G1031">
        <v>0</v>
      </c>
      <c r="H1031" s="1">
        <v>0</v>
      </c>
      <c r="I1031" s="1">
        <v>0</v>
      </c>
      <c r="J1031" s="1">
        <v>4.54</v>
      </c>
      <c r="K1031" s="1">
        <v>0.46</v>
      </c>
      <c r="L1031" s="1">
        <v>5</v>
      </c>
      <c r="M1031">
        <v>2</v>
      </c>
    </row>
    <row r="1032" spans="1:13" x14ac:dyDescent="0.2">
      <c r="A1032" t="s">
        <v>1340</v>
      </c>
      <c r="B1032" t="s">
        <v>14</v>
      </c>
      <c r="C1032">
        <v>841937168377</v>
      </c>
      <c r="D1032" t="s">
        <v>228</v>
      </c>
      <c r="E1032">
        <v>1</v>
      </c>
      <c r="F1032" s="1">
        <v>2.69</v>
      </c>
      <c r="G1032">
        <v>0</v>
      </c>
      <c r="H1032" s="1">
        <v>0</v>
      </c>
      <c r="I1032" s="1">
        <v>-0.35</v>
      </c>
      <c r="J1032" s="1">
        <v>2.34</v>
      </c>
      <c r="K1032" s="1">
        <v>0.46</v>
      </c>
      <c r="L1032" s="1">
        <v>2.8</v>
      </c>
      <c r="M1032">
        <v>1</v>
      </c>
    </row>
    <row r="1033" spans="1:13" x14ac:dyDescent="0.2">
      <c r="A1033" t="s">
        <v>1341</v>
      </c>
      <c r="B1033" t="s">
        <v>14</v>
      </c>
      <c r="C1033">
        <v>841937168353</v>
      </c>
      <c r="D1033" t="s">
        <v>228</v>
      </c>
      <c r="E1033">
        <v>1</v>
      </c>
      <c r="F1033" s="1">
        <v>2.67</v>
      </c>
      <c r="G1033">
        <v>0</v>
      </c>
      <c r="H1033" s="1">
        <v>0</v>
      </c>
      <c r="I1033" s="1">
        <v>-0.34</v>
      </c>
      <c r="J1033" s="1">
        <v>2.33</v>
      </c>
      <c r="K1033" s="1">
        <v>0.48</v>
      </c>
      <c r="L1033" s="1">
        <v>2.81</v>
      </c>
      <c r="M1033">
        <v>1</v>
      </c>
    </row>
    <row r="1034" spans="1:13" x14ac:dyDescent="0.2">
      <c r="A1034" t="s">
        <v>1342</v>
      </c>
      <c r="B1034" t="s">
        <v>14</v>
      </c>
      <c r="C1034">
        <v>794712237570</v>
      </c>
      <c r="D1034" t="s">
        <v>229</v>
      </c>
      <c r="E1034">
        <v>1</v>
      </c>
      <c r="F1034" s="1">
        <v>14.45</v>
      </c>
      <c r="G1034">
        <v>0</v>
      </c>
      <c r="H1034" s="1">
        <v>0</v>
      </c>
      <c r="I1034" s="1">
        <v>-8.24</v>
      </c>
      <c r="J1034" s="1">
        <v>6.21</v>
      </c>
      <c r="K1034" s="1">
        <v>0</v>
      </c>
      <c r="L1034" s="1">
        <v>6.21</v>
      </c>
      <c r="M1034">
        <v>1</v>
      </c>
    </row>
    <row r="1035" spans="1:13" x14ac:dyDescent="0.2">
      <c r="A1035" t="s">
        <v>1343</v>
      </c>
      <c r="B1035" t="s">
        <v>14</v>
      </c>
      <c r="C1035">
        <v>794712237556</v>
      </c>
      <c r="D1035" t="s">
        <v>229</v>
      </c>
      <c r="E1035">
        <v>2</v>
      </c>
      <c r="F1035" s="1">
        <v>28.9</v>
      </c>
      <c r="G1035">
        <v>0</v>
      </c>
      <c r="H1035" s="1">
        <v>0</v>
      </c>
      <c r="I1035" s="1">
        <v>-15.47</v>
      </c>
      <c r="J1035" s="1">
        <v>13.43</v>
      </c>
      <c r="K1035" s="1">
        <v>0</v>
      </c>
      <c r="L1035" s="1">
        <v>13.43</v>
      </c>
      <c r="M1035">
        <v>2</v>
      </c>
    </row>
    <row r="1036" spans="1:13" x14ac:dyDescent="0.2">
      <c r="A1036" t="s">
        <v>230</v>
      </c>
      <c r="B1036" t="s">
        <v>14</v>
      </c>
      <c r="C1036">
        <v>9312336049013</v>
      </c>
      <c r="D1036" t="s">
        <v>229</v>
      </c>
      <c r="E1036">
        <v>5</v>
      </c>
      <c r="F1036" s="1">
        <v>28.25</v>
      </c>
      <c r="G1036">
        <v>0</v>
      </c>
      <c r="H1036" s="1">
        <v>0</v>
      </c>
      <c r="I1036" s="1">
        <v>-22.6</v>
      </c>
      <c r="J1036" s="1">
        <v>5.65</v>
      </c>
      <c r="K1036" s="1">
        <v>0</v>
      </c>
      <c r="L1036" s="1">
        <v>5.65</v>
      </c>
      <c r="M1036">
        <v>5</v>
      </c>
    </row>
    <row r="1037" spans="1:13" x14ac:dyDescent="0.2">
      <c r="A1037" t="s">
        <v>363</v>
      </c>
      <c r="B1037" t="s">
        <v>14</v>
      </c>
      <c r="C1037">
        <v>9346940003918</v>
      </c>
      <c r="D1037" t="s">
        <v>229</v>
      </c>
      <c r="E1037">
        <v>1</v>
      </c>
      <c r="F1037" s="1">
        <v>26.5</v>
      </c>
      <c r="G1037">
        <v>0</v>
      </c>
      <c r="H1037" s="1">
        <v>0</v>
      </c>
      <c r="I1037" s="1">
        <v>0</v>
      </c>
      <c r="J1037" s="1">
        <v>26.5</v>
      </c>
      <c r="K1037" s="1">
        <v>0</v>
      </c>
      <c r="L1037" s="1">
        <v>26.5</v>
      </c>
      <c r="M1037">
        <v>1</v>
      </c>
    </row>
    <row r="1038" spans="1:13" x14ac:dyDescent="0.2">
      <c r="A1038" t="s">
        <v>1344</v>
      </c>
      <c r="B1038" t="s">
        <v>14</v>
      </c>
      <c r="C1038">
        <v>9346940003833</v>
      </c>
      <c r="D1038" t="s">
        <v>229</v>
      </c>
      <c r="E1038">
        <v>2</v>
      </c>
      <c r="F1038" s="1">
        <v>53</v>
      </c>
      <c r="G1038">
        <v>0</v>
      </c>
      <c r="H1038" s="1">
        <v>0</v>
      </c>
      <c r="I1038" s="1">
        <v>0</v>
      </c>
      <c r="J1038" s="1">
        <v>53</v>
      </c>
      <c r="K1038" s="1">
        <v>0</v>
      </c>
      <c r="L1038" s="1">
        <v>53</v>
      </c>
      <c r="M1038">
        <v>2</v>
      </c>
    </row>
    <row r="1039" spans="1:13" x14ac:dyDescent="0.2">
      <c r="A1039" t="s">
        <v>1345</v>
      </c>
      <c r="B1039" t="s">
        <v>14</v>
      </c>
      <c r="C1039">
        <v>667736000119</v>
      </c>
      <c r="D1039" t="s">
        <v>229</v>
      </c>
      <c r="E1039">
        <v>1</v>
      </c>
      <c r="F1039" s="1">
        <v>12.3</v>
      </c>
      <c r="G1039">
        <v>0</v>
      </c>
      <c r="H1039" s="1">
        <v>0</v>
      </c>
      <c r="I1039" s="1">
        <v>0</v>
      </c>
      <c r="J1039" s="1">
        <v>12.3</v>
      </c>
      <c r="K1039" s="1">
        <v>0</v>
      </c>
      <c r="L1039" s="1">
        <v>12.3</v>
      </c>
      <c r="M1039">
        <v>1</v>
      </c>
    </row>
    <row r="1040" spans="1:13" x14ac:dyDescent="0.2">
      <c r="A1040" t="s">
        <v>589</v>
      </c>
      <c r="B1040" t="s">
        <v>14</v>
      </c>
      <c r="C1040">
        <v>9351851002431</v>
      </c>
      <c r="D1040" t="s">
        <v>229</v>
      </c>
      <c r="E1040">
        <v>1</v>
      </c>
      <c r="F1040" s="1">
        <v>5.5</v>
      </c>
      <c r="G1040">
        <v>0</v>
      </c>
      <c r="H1040" s="1">
        <v>0</v>
      </c>
      <c r="I1040" s="1">
        <v>0</v>
      </c>
      <c r="J1040" s="1">
        <v>5.5</v>
      </c>
      <c r="K1040" s="1">
        <v>0</v>
      </c>
      <c r="L1040" s="1">
        <v>5.5</v>
      </c>
      <c r="M1040">
        <v>1</v>
      </c>
    </row>
    <row r="1041" spans="1:13" x14ac:dyDescent="0.2">
      <c r="A1041" t="s">
        <v>1346</v>
      </c>
      <c r="B1041" t="s">
        <v>14</v>
      </c>
      <c r="C1041">
        <v>9351851000109</v>
      </c>
      <c r="D1041" t="s">
        <v>229</v>
      </c>
      <c r="E1041">
        <v>5</v>
      </c>
      <c r="F1041" s="1">
        <v>54.75</v>
      </c>
      <c r="G1041">
        <v>0</v>
      </c>
      <c r="H1041" s="1">
        <v>0</v>
      </c>
      <c r="I1041" s="1">
        <v>0</v>
      </c>
      <c r="J1041" s="1">
        <v>54.75</v>
      </c>
      <c r="K1041" s="1">
        <v>0</v>
      </c>
      <c r="L1041" s="1">
        <v>54.75</v>
      </c>
      <c r="M1041">
        <v>5</v>
      </c>
    </row>
    <row r="1042" spans="1:13" x14ac:dyDescent="0.2">
      <c r="A1042" t="s">
        <v>441</v>
      </c>
      <c r="B1042" t="s">
        <v>14</v>
      </c>
      <c r="C1042">
        <v>9351851001908</v>
      </c>
      <c r="D1042" t="s">
        <v>229</v>
      </c>
      <c r="E1042">
        <v>1</v>
      </c>
      <c r="F1042" s="1">
        <v>22.2</v>
      </c>
      <c r="G1042">
        <v>0</v>
      </c>
      <c r="H1042" s="1">
        <v>0</v>
      </c>
      <c r="I1042" s="1">
        <v>-0.54</v>
      </c>
      <c r="J1042" s="1">
        <v>21.66</v>
      </c>
      <c r="K1042" s="1">
        <v>0</v>
      </c>
      <c r="L1042" s="1">
        <v>21.66</v>
      </c>
      <c r="M1042">
        <v>1</v>
      </c>
    </row>
    <row r="1043" spans="1:13" x14ac:dyDescent="0.2">
      <c r="A1043" t="s">
        <v>442</v>
      </c>
      <c r="B1043" t="s">
        <v>14</v>
      </c>
      <c r="C1043">
        <v>9351851001892</v>
      </c>
      <c r="D1043" t="s">
        <v>229</v>
      </c>
      <c r="E1043">
        <v>3</v>
      </c>
      <c r="F1043" s="1">
        <v>66.599999999999994</v>
      </c>
      <c r="G1043">
        <v>-1</v>
      </c>
      <c r="H1043" s="1">
        <v>-22.2</v>
      </c>
      <c r="I1043" s="1">
        <v>0</v>
      </c>
      <c r="J1043" s="1">
        <v>44.4</v>
      </c>
      <c r="K1043" s="1">
        <v>0</v>
      </c>
      <c r="L1043" s="1">
        <v>44.4</v>
      </c>
      <c r="M1043">
        <v>3</v>
      </c>
    </row>
    <row r="1044" spans="1:13" x14ac:dyDescent="0.2">
      <c r="A1044" t="s">
        <v>1347</v>
      </c>
      <c r="B1044" t="s">
        <v>14</v>
      </c>
      <c r="C1044">
        <v>9351851001946</v>
      </c>
      <c r="D1044" t="s">
        <v>229</v>
      </c>
      <c r="E1044">
        <v>1</v>
      </c>
      <c r="F1044" s="1">
        <v>11.5</v>
      </c>
      <c r="G1044">
        <v>0</v>
      </c>
      <c r="H1044" s="1">
        <v>0</v>
      </c>
      <c r="I1044" s="1">
        <v>0</v>
      </c>
      <c r="J1044" s="1">
        <v>11.5</v>
      </c>
      <c r="K1044" s="1">
        <v>0</v>
      </c>
      <c r="L1044" s="1">
        <v>11.5</v>
      </c>
      <c r="M1044">
        <v>1</v>
      </c>
    </row>
    <row r="1045" spans="1:13" x14ac:dyDescent="0.2">
      <c r="A1045" t="s">
        <v>1348</v>
      </c>
      <c r="B1045" t="s">
        <v>14</v>
      </c>
      <c r="C1045">
        <v>9351851001953</v>
      </c>
      <c r="D1045" t="s">
        <v>229</v>
      </c>
      <c r="E1045">
        <v>3</v>
      </c>
      <c r="F1045" s="1">
        <v>50.85</v>
      </c>
      <c r="G1045">
        <v>0</v>
      </c>
      <c r="H1045" s="1">
        <v>0</v>
      </c>
      <c r="I1045" s="1">
        <v>-2.4</v>
      </c>
      <c r="J1045" s="1">
        <v>48.45</v>
      </c>
      <c r="K1045" s="1">
        <v>0</v>
      </c>
      <c r="L1045" s="1">
        <v>48.45</v>
      </c>
      <c r="M1045">
        <v>3</v>
      </c>
    </row>
    <row r="1046" spans="1:13" x14ac:dyDescent="0.2">
      <c r="A1046" t="s">
        <v>939</v>
      </c>
      <c r="B1046" t="s">
        <v>14</v>
      </c>
      <c r="C1046">
        <v>9329521008618</v>
      </c>
      <c r="D1046" t="s">
        <v>229</v>
      </c>
      <c r="E1046">
        <v>3</v>
      </c>
      <c r="F1046" s="1">
        <v>29.55</v>
      </c>
      <c r="G1046">
        <v>0</v>
      </c>
      <c r="H1046" s="1">
        <v>0</v>
      </c>
      <c r="I1046" s="1">
        <v>-3.94</v>
      </c>
      <c r="J1046" s="1">
        <v>25.61</v>
      </c>
      <c r="K1046" s="1">
        <v>0</v>
      </c>
      <c r="L1046" s="1">
        <v>25.61</v>
      </c>
      <c r="M1046">
        <v>3</v>
      </c>
    </row>
    <row r="1047" spans="1:13" x14ac:dyDescent="0.2">
      <c r="A1047" t="s">
        <v>1349</v>
      </c>
      <c r="B1047" t="s">
        <v>14</v>
      </c>
      <c r="C1047">
        <v>9340111000041</v>
      </c>
      <c r="D1047" t="s">
        <v>229</v>
      </c>
      <c r="E1047">
        <v>1</v>
      </c>
      <c r="F1047" s="1">
        <v>12.6</v>
      </c>
      <c r="G1047">
        <v>0</v>
      </c>
      <c r="H1047" s="1">
        <v>0</v>
      </c>
      <c r="I1047" s="1">
        <v>0</v>
      </c>
      <c r="J1047" s="1">
        <v>12.6</v>
      </c>
      <c r="K1047" s="1">
        <v>0</v>
      </c>
      <c r="L1047" s="1">
        <v>12.6</v>
      </c>
      <c r="M1047">
        <v>1</v>
      </c>
    </row>
    <row r="1048" spans="1:13" x14ac:dyDescent="0.2">
      <c r="A1048" t="s">
        <v>399</v>
      </c>
      <c r="B1048" t="s">
        <v>14</v>
      </c>
      <c r="C1048">
        <v>9351720000001</v>
      </c>
      <c r="D1048" t="s">
        <v>229</v>
      </c>
      <c r="E1048">
        <v>6</v>
      </c>
      <c r="F1048" s="1">
        <v>47.7</v>
      </c>
      <c r="G1048">
        <v>0</v>
      </c>
      <c r="H1048" s="1">
        <v>0</v>
      </c>
      <c r="I1048" s="1">
        <v>0</v>
      </c>
      <c r="J1048" s="1">
        <v>47.7</v>
      </c>
      <c r="K1048" s="1">
        <v>0</v>
      </c>
      <c r="L1048" s="1">
        <v>47.7</v>
      </c>
      <c r="M1048">
        <v>6</v>
      </c>
    </row>
    <row r="1049" spans="1:13" x14ac:dyDescent="0.2">
      <c r="A1049" t="s">
        <v>231</v>
      </c>
      <c r="B1049" t="s">
        <v>14</v>
      </c>
      <c r="C1049">
        <v>9358871000034</v>
      </c>
      <c r="D1049" t="s">
        <v>229</v>
      </c>
      <c r="E1049">
        <v>7</v>
      </c>
      <c r="F1049" s="1">
        <v>48.65</v>
      </c>
      <c r="G1049">
        <v>0</v>
      </c>
      <c r="H1049" s="1">
        <v>0</v>
      </c>
      <c r="I1049" s="1">
        <v>-4.17</v>
      </c>
      <c r="J1049" s="1">
        <v>44.48</v>
      </c>
      <c r="K1049" s="1">
        <v>0</v>
      </c>
      <c r="L1049" s="1">
        <v>44.48</v>
      </c>
      <c r="M1049">
        <v>7</v>
      </c>
    </row>
    <row r="1050" spans="1:13" x14ac:dyDescent="0.2">
      <c r="A1050" t="s">
        <v>1350</v>
      </c>
      <c r="B1050" t="s">
        <v>14</v>
      </c>
      <c r="C1050">
        <v>9358871000027</v>
      </c>
      <c r="D1050" t="s">
        <v>229</v>
      </c>
      <c r="E1050">
        <v>1</v>
      </c>
      <c r="F1050" s="1">
        <v>7.15</v>
      </c>
      <c r="G1050">
        <v>0</v>
      </c>
      <c r="H1050" s="1">
        <v>0</v>
      </c>
      <c r="I1050" s="1">
        <v>0</v>
      </c>
      <c r="J1050" s="1">
        <v>7.15</v>
      </c>
      <c r="K1050" s="1">
        <v>0</v>
      </c>
      <c r="L1050" s="1">
        <v>7.15</v>
      </c>
      <c r="M1050">
        <v>1</v>
      </c>
    </row>
    <row r="1051" spans="1:13" x14ac:dyDescent="0.2">
      <c r="A1051" t="s">
        <v>232</v>
      </c>
      <c r="B1051" t="s">
        <v>14</v>
      </c>
      <c r="C1051">
        <v>9357031000389</v>
      </c>
      <c r="D1051" t="s">
        <v>229</v>
      </c>
      <c r="E1051">
        <v>11</v>
      </c>
      <c r="F1051" s="1">
        <v>79.2</v>
      </c>
      <c r="G1051">
        <v>0</v>
      </c>
      <c r="H1051" s="1">
        <v>0</v>
      </c>
      <c r="I1051" s="1">
        <v>-51.42</v>
      </c>
      <c r="J1051" s="1">
        <v>27.78</v>
      </c>
      <c r="K1051" s="1">
        <v>0</v>
      </c>
      <c r="L1051" s="1">
        <v>27.78</v>
      </c>
      <c r="M1051">
        <v>11</v>
      </c>
    </row>
    <row r="1052" spans="1:13" x14ac:dyDescent="0.2">
      <c r="A1052" t="s">
        <v>493</v>
      </c>
      <c r="B1052" t="s">
        <v>14</v>
      </c>
      <c r="C1052">
        <v>9369998121861</v>
      </c>
      <c r="D1052" t="s">
        <v>229</v>
      </c>
      <c r="E1052">
        <v>3</v>
      </c>
      <c r="F1052" s="1">
        <v>24.6</v>
      </c>
      <c r="G1052">
        <v>0</v>
      </c>
      <c r="H1052" s="1">
        <v>0</v>
      </c>
      <c r="I1052" s="1">
        <v>-1.1599999999999999</v>
      </c>
      <c r="J1052" s="1">
        <v>23.44</v>
      </c>
      <c r="K1052" s="1">
        <v>0</v>
      </c>
      <c r="L1052" s="1">
        <v>23.44</v>
      </c>
      <c r="M1052">
        <v>3</v>
      </c>
    </row>
    <row r="1053" spans="1:13" x14ac:dyDescent="0.2">
      <c r="A1053" t="s">
        <v>1351</v>
      </c>
      <c r="B1053" t="s">
        <v>14</v>
      </c>
      <c r="C1053">
        <v>9314075000409</v>
      </c>
      <c r="D1053" t="s">
        <v>229</v>
      </c>
      <c r="E1053">
        <v>2</v>
      </c>
      <c r="F1053" s="1">
        <v>24.5</v>
      </c>
      <c r="G1053">
        <v>0</v>
      </c>
      <c r="H1053" s="1">
        <v>0</v>
      </c>
      <c r="I1053" s="1">
        <v>0</v>
      </c>
      <c r="J1053" s="1">
        <v>24.5</v>
      </c>
      <c r="K1053" s="1">
        <v>0</v>
      </c>
      <c r="L1053" s="1">
        <v>24.5</v>
      </c>
      <c r="M1053">
        <v>2</v>
      </c>
    </row>
    <row r="1054" spans="1:13" x14ac:dyDescent="0.2">
      <c r="A1054" t="s">
        <v>1352</v>
      </c>
      <c r="B1054" t="s">
        <v>14</v>
      </c>
      <c r="C1054">
        <v>7394376617379</v>
      </c>
      <c r="D1054" t="s">
        <v>229</v>
      </c>
      <c r="E1054">
        <v>1</v>
      </c>
      <c r="F1054" s="1">
        <v>7.2</v>
      </c>
      <c r="G1054">
        <v>0</v>
      </c>
      <c r="H1054" s="1">
        <v>0</v>
      </c>
      <c r="I1054" s="1">
        <v>0</v>
      </c>
      <c r="J1054" s="1">
        <v>7.2</v>
      </c>
      <c r="K1054" s="1">
        <v>0</v>
      </c>
      <c r="L1054" s="1">
        <v>7.2</v>
      </c>
      <c r="M1054">
        <v>1</v>
      </c>
    </row>
    <row r="1055" spans="1:13" x14ac:dyDescent="0.2">
      <c r="A1055" t="s">
        <v>233</v>
      </c>
      <c r="B1055" t="s">
        <v>14</v>
      </c>
      <c r="C1055">
        <v>9358989000001</v>
      </c>
      <c r="D1055" t="s">
        <v>229</v>
      </c>
      <c r="E1055">
        <v>12</v>
      </c>
      <c r="F1055" s="1">
        <v>74.400000000000006</v>
      </c>
      <c r="G1055">
        <v>0</v>
      </c>
      <c r="H1055" s="1">
        <v>0</v>
      </c>
      <c r="I1055" s="1">
        <v>-24.8</v>
      </c>
      <c r="J1055" s="1">
        <v>49.6</v>
      </c>
      <c r="K1055" s="1">
        <v>0</v>
      </c>
      <c r="L1055" s="1">
        <v>49.6</v>
      </c>
      <c r="M1055">
        <v>12</v>
      </c>
    </row>
    <row r="1056" spans="1:13" x14ac:dyDescent="0.2">
      <c r="A1056" t="s">
        <v>1353</v>
      </c>
      <c r="B1056" t="s">
        <v>14</v>
      </c>
      <c r="C1056">
        <v>9368056974609</v>
      </c>
      <c r="D1056" t="s">
        <v>229</v>
      </c>
      <c r="E1056">
        <v>1</v>
      </c>
      <c r="F1056" s="1">
        <v>15.8</v>
      </c>
      <c r="G1056">
        <v>0</v>
      </c>
      <c r="H1056" s="1">
        <v>0</v>
      </c>
      <c r="I1056" s="1">
        <v>0</v>
      </c>
      <c r="J1056" s="1">
        <v>15.8</v>
      </c>
      <c r="K1056" s="1">
        <v>0</v>
      </c>
      <c r="L1056" s="1">
        <v>15.8</v>
      </c>
      <c r="M1056">
        <v>1</v>
      </c>
    </row>
    <row r="1057" spans="1:13" x14ac:dyDescent="0.2">
      <c r="A1057" t="s">
        <v>234</v>
      </c>
      <c r="B1057" t="s">
        <v>14</v>
      </c>
      <c r="C1057">
        <v>9312231231032</v>
      </c>
      <c r="D1057" t="s">
        <v>229</v>
      </c>
      <c r="E1057">
        <v>3</v>
      </c>
      <c r="F1057" s="1">
        <v>16.350000000000001</v>
      </c>
      <c r="G1057">
        <v>0</v>
      </c>
      <c r="H1057" s="1">
        <v>0</v>
      </c>
      <c r="I1057" s="1">
        <v>-10.9</v>
      </c>
      <c r="J1057" s="1">
        <v>5.45</v>
      </c>
      <c r="K1057" s="1">
        <v>0</v>
      </c>
      <c r="L1057" s="1">
        <v>5.45</v>
      </c>
      <c r="M1057">
        <v>3</v>
      </c>
    </row>
    <row r="1058" spans="1:13" x14ac:dyDescent="0.2">
      <c r="A1058" t="s">
        <v>235</v>
      </c>
      <c r="B1058" t="s">
        <v>14</v>
      </c>
      <c r="C1058">
        <v>9312231001215</v>
      </c>
      <c r="D1058" t="s">
        <v>229</v>
      </c>
      <c r="E1058">
        <v>4</v>
      </c>
      <c r="F1058" s="1">
        <v>21</v>
      </c>
      <c r="G1058">
        <v>0</v>
      </c>
      <c r="H1058" s="1">
        <v>0</v>
      </c>
      <c r="I1058" s="1">
        <v>0</v>
      </c>
      <c r="J1058" s="1">
        <v>21</v>
      </c>
      <c r="K1058" s="1">
        <v>0</v>
      </c>
      <c r="L1058" s="1">
        <v>21</v>
      </c>
      <c r="M1058">
        <v>4</v>
      </c>
    </row>
    <row r="1059" spans="1:13" x14ac:dyDescent="0.2">
      <c r="A1059" t="s">
        <v>1354</v>
      </c>
      <c r="B1059" t="s">
        <v>14</v>
      </c>
      <c r="C1059">
        <v>743966004414</v>
      </c>
      <c r="D1059" t="s">
        <v>229</v>
      </c>
      <c r="E1059">
        <v>1</v>
      </c>
      <c r="F1059" s="1">
        <v>16.149999999999999</v>
      </c>
      <c r="G1059">
        <v>0</v>
      </c>
      <c r="H1059" s="1">
        <v>0</v>
      </c>
      <c r="I1059" s="1">
        <v>0</v>
      </c>
      <c r="J1059" s="1">
        <v>16.149999999999999</v>
      </c>
      <c r="K1059" s="1">
        <v>0</v>
      </c>
      <c r="L1059" s="1">
        <v>16.149999999999999</v>
      </c>
      <c r="M1059">
        <v>1</v>
      </c>
    </row>
    <row r="1060" spans="1:13" x14ac:dyDescent="0.2">
      <c r="A1060" t="s">
        <v>236</v>
      </c>
      <c r="B1060" t="s">
        <v>14</v>
      </c>
      <c r="C1060" t="s">
        <v>237</v>
      </c>
      <c r="D1060" t="s">
        <v>238</v>
      </c>
      <c r="E1060">
        <v>1</v>
      </c>
      <c r="F1060" s="1">
        <v>5.4</v>
      </c>
      <c r="G1060">
        <v>0</v>
      </c>
      <c r="H1060" s="1">
        <v>0</v>
      </c>
      <c r="I1060" s="1">
        <v>0</v>
      </c>
      <c r="J1060" s="1">
        <v>5.4</v>
      </c>
      <c r="K1060" s="1">
        <v>0</v>
      </c>
      <c r="L1060" s="1">
        <v>5.4</v>
      </c>
      <c r="M1060">
        <v>1</v>
      </c>
    </row>
    <row r="1061" spans="1:13" x14ac:dyDescent="0.2">
      <c r="A1061" t="s">
        <v>239</v>
      </c>
      <c r="B1061" t="s">
        <v>14</v>
      </c>
      <c r="C1061">
        <v>100000014424</v>
      </c>
      <c r="D1061" t="s">
        <v>238</v>
      </c>
      <c r="E1061">
        <v>2</v>
      </c>
      <c r="F1061" s="1">
        <v>6.45</v>
      </c>
      <c r="G1061">
        <v>0</v>
      </c>
      <c r="H1061" s="1">
        <v>0</v>
      </c>
      <c r="I1061" s="1">
        <v>-0.08</v>
      </c>
      <c r="J1061" s="1">
        <v>6.37</v>
      </c>
      <c r="K1061" s="1">
        <v>0</v>
      </c>
      <c r="L1061" s="1">
        <v>6.37</v>
      </c>
      <c r="M1061">
        <v>1.2649999999999999</v>
      </c>
    </row>
    <row r="1062" spans="1:13" x14ac:dyDescent="0.2">
      <c r="A1062" t="s">
        <v>240</v>
      </c>
      <c r="B1062" t="s">
        <v>14</v>
      </c>
      <c r="C1062" t="s">
        <v>241</v>
      </c>
      <c r="D1062" t="s">
        <v>238</v>
      </c>
      <c r="E1062">
        <v>4</v>
      </c>
      <c r="F1062" s="1">
        <v>12.56</v>
      </c>
      <c r="G1062">
        <v>0</v>
      </c>
      <c r="H1062" s="1">
        <v>0</v>
      </c>
      <c r="I1062" s="1">
        <v>-0.92</v>
      </c>
      <c r="J1062" s="1">
        <v>11.64</v>
      </c>
      <c r="K1062" s="1">
        <v>0</v>
      </c>
      <c r="L1062" s="1">
        <v>11.64</v>
      </c>
      <c r="M1062">
        <v>1.18</v>
      </c>
    </row>
    <row r="1063" spans="1:13" x14ac:dyDescent="0.2">
      <c r="A1063" t="s">
        <v>590</v>
      </c>
      <c r="B1063" t="s">
        <v>14</v>
      </c>
      <c r="C1063">
        <v>100000012123</v>
      </c>
      <c r="D1063" t="s">
        <v>238</v>
      </c>
      <c r="E1063">
        <v>1</v>
      </c>
      <c r="F1063" s="1">
        <v>1.68</v>
      </c>
      <c r="G1063">
        <v>0</v>
      </c>
      <c r="H1063" s="1">
        <v>0</v>
      </c>
      <c r="I1063" s="1">
        <v>0</v>
      </c>
      <c r="J1063" s="1">
        <v>1.68</v>
      </c>
      <c r="K1063" s="1">
        <v>0</v>
      </c>
      <c r="L1063" s="1">
        <v>1.68</v>
      </c>
      <c r="M1063">
        <v>0.71499999999999997</v>
      </c>
    </row>
    <row r="1064" spans="1:13" x14ac:dyDescent="0.2">
      <c r="A1064" t="s">
        <v>242</v>
      </c>
      <c r="B1064" t="s">
        <v>14</v>
      </c>
      <c r="C1064">
        <v>100000006597</v>
      </c>
      <c r="D1064" t="s">
        <v>238</v>
      </c>
      <c r="E1064">
        <v>3</v>
      </c>
      <c r="F1064" s="1">
        <v>6.96</v>
      </c>
      <c r="G1064">
        <v>0</v>
      </c>
      <c r="H1064" s="1">
        <v>0</v>
      </c>
      <c r="I1064" s="1">
        <v>-0.94</v>
      </c>
      <c r="J1064" s="1">
        <v>6.02</v>
      </c>
      <c r="K1064" s="1">
        <v>0</v>
      </c>
      <c r="L1064" s="1">
        <v>6.02</v>
      </c>
      <c r="M1064">
        <v>2.5099999999999998</v>
      </c>
    </row>
    <row r="1065" spans="1:13" x14ac:dyDescent="0.2">
      <c r="A1065" t="s">
        <v>722</v>
      </c>
      <c r="B1065" t="s">
        <v>14</v>
      </c>
      <c r="C1065" t="s">
        <v>723</v>
      </c>
      <c r="D1065" t="s">
        <v>238</v>
      </c>
      <c r="E1065">
        <v>4</v>
      </c>
      <c r="F1065" s="1">
        <v>37.49</v>
      </c>
      <c r="G1065">
        <v>0</v>
      </c>
      <c r="H1065" s="1">
        <v>0</v>
      </c>
      <c r="I1065" s="1">
        <v>-1.4</v>
      </c>
      <c r="J1065" s="1">
        <v>36.090000000000003</v>
      </c>
      <c r="K1065" s="1">
        <v>0</v>
      </c>
      <c r="L1065" s="1">
        <v>36.090000000000003</v>
      </c>
      <c r="M1065">
        <v>1.2250000000000001</v>
      </c>
    </row>
    <row r="1066" spans="1:13" x14ac:dyDescent="0.2">
      <c r="A1066" t="s">
        <v>1355</v>
      </c>
      <c r="B1066" t="s">
        <v>14</v>
      </c>
      <c r="C1066">
        <v>7896493</v>
      </c>
      <c r="D1066" t="s">
        <v>238</v>
      </c>
      <c r="E1066">
        <v>3</v>
      </c>
      <c r="F1066" s="1">
        <v>3.49</v>
      </c>
      <c r="G1066">
        <v>0</v>
      </c>
      <c r="H1066" s="1">
        <v>0</v>
      </c>
      <c r="I1066" s="1">
        <v>0</v>
      </c>
      <c r="J1066" s="1">
        <v>3.49</v>
      </c>
      <c r="K1066" s="1">
        <v>0</v>
      </c>
      <c r="L1066" s="1">
        <v>3.49</v>
      </c>
      <c r="M1066">
        <v>0.45300000000000001</v>
      </c>
    </row>
    <row r="1067" spans="1:13" x14ac:dyDescent="0.2">
      <c r="A1067" t="s">
        <v>243</v>
      </c>
      <c r="B1067" t="s">
        <v>14</v>
      </c>
      <c r="C1067">
        <v>7896493</v>
      </c>
      <c r="D1067" t="s">
        <v>238</v>
      </c>
      <c r="E1067">
        <v>7</v>
      </c>
      <c r="F1067" s="1">
        <v>18.68</v>
      </c>
      <c r="G1067">
        <v>0</v>
      </c>
      <c r="H1067" s="1">
        <v>0</v>
      </c>
      <c r="I1067" s="1">
        <v>-0.93</v>
      </c>
      <c r="J1067" s="1">
        <v>17.75</v>
      </c>
      <c r="K1067" s="1">
        <v>0</v>
      </c>
      <c r="L1067" s="1">
        <v>17.75</v>
      </c>
      <c r="M1067">
        <v>2.4249999999999998</v>
      </c>
    </row>
    <row r="1068" spans="1:13" x14ac:dyDescent="0.2">
      <c r="A1068" t="s">
        <v>1356</v>
      </c>
      <c r="B1068" t="s">
        <v>14</v>
      </c>
      <c r="C1068" t="s">
        <v>1357</v>
      </c>
      <c r="D1068" t="s">
        <v>238</v>
      </c>
      <c r="E1068">
        <v>2</v>
      </c>
      <c r="F1068" s="1">
        <v>21.38</v>
      </c>
      <c r="G1068">
        <v>0</v>
      </c>
      <c r="H1068" s="1">
        <v>0</v>
      </c>
      <c r="I1068" s="1">
        <v>0</v>
      </c>
      <c r="J1068" s="1">
        <v>21.38</v>
      </c>
      <c r="K1068" s="1">
        <v>0</v>
      </c>
      <c r="L1068" s="1">
        <v>21.38</v>
      </c>
      <c r="M1068">
        <v>1.2250000000000001</v>
      </c>
    </row>
    <row r="1069" spans="1:13" x14ac:dyDescent="0.2">
      <c r="A1069" t="s">
        <v>244</v>
      </c>
      <c r="B1069" t="s">
        <v>14</v>
      </c>
      <c r="C1069">
        <v>100000006825</v>
      </c>
      <c r="D1069" t="s">
        <v>238</v>
      </c>
      <c r="E1069">
        <v>14</v>
      </c>
      <c r="F1069" s="1">
        <v>49.25</v>
      </c>
      <c r="G1069">
        <v>0</v>
      </c>
      <c r="H1069" s="1">
        <v>0</v>
      </c>
      <c r="I1069" s="1">
        <v>-3.09</v>
      </c>
      <c r="J1069" s="1">
        <v>46.16</v>
      </c>
      <c r="K1069" s="1">
        <v>0</v>
      </c>
      <c r="L1069" s="1">
        <v>46.16</v>
      </c>
      <c r="M1069">
        <v>4.12</v>
      </c>
    </row>
    <row r="1070" spans="1:13" x14ac:dyDescent="0.2">
      <c r="A1070" t="s">
        <v>245</v>
      </c>
      <c r="B1070" t="s">
        <v>14</v>
      </c>
      <c r="C1070" t="s">
        <v>246</v>
      </c>
      <c r="D1070" t="s">
        <v>238</v>
      </c>
      <c r="E1070">
        <v>6</v>
      </c>
      <c r="F1070" s="1">
        <v>29.17</v>
      </c>
      <c r="G1070">
        <v>0</v>
      </c>
      <c r="H1070" s="1">
        <v>0</v>
      </c>
      <c r="I1070" s="1">
        <v>-0.72</v>
      </c>
      <c r="J1070" s="1">
        <v>28.45</v>
      </c>
      <c r="K1070" s="1">
        <v>0</v>
      </c>
      <c r="L1070" s="1">
        <v>28.45</v>
      </c>
      <c r="M1070">
        <v>0.33</v>
      </c>
    </row>
    <row r="1071" spans="1:13" x14ac:dyDescent="0.2">
      <c r="A1071" t="s">
        <v>247</v>
      </c>
      <c r="B1071" t="s">
        <v>14</v>
      </c>
      <c r="C1071">
        <v>100000012291</v>
      </c>
      <c r="D1071" t="s">
        <v>238</v>
      </c>
      <c r="E1071">
        <v>7</v>
      </c>
      <c r="F1071" s="1">
        <v>11.07</v>
      </c>
      <c r="G1071">
        <v>0</v>
      </c>
      <c r="H1071" s="1">
        <v>0</v>
      </c>
      <c r="I1071" s="1">
        <v>-1.53</v>
      </c>
      <c r="J1071" s="1">
        <v>9.5399999999999991</v>
      </c>
      <c r="K1071" s="1">
        <v>0</v>
      </c>
      <c r="L1071" s="1">
        <v>9.5399999999999991</v>
      </c>
      <c r="M1071">
        <v>0.38300000000000001</v>
      </c>
    </row>
    <row r="1072" spans="1:13" x14ac:dyDescent="0.2">
      <c r="A1072" t="s">
        <v>940</v>
      </c>
      <c r="B1072" t="s">
        <v>14</v>
      </c>
      <c r="C1072" t="s">
        <v>941</v>
      </c>
      <c r="D1072" t="s">
        <v>238</v>
      </c>
      <c r="E1072">
        <v>2</v>
      </c>
      <c r="F1072" s="1">
        <v>24</v>
      </c>
      <c r="G1072">
        <v>0</v>
      </c>
      <c r="H1072" s="1">
        <v>0</v>
      </c>
      <c r="I1072" s="1">
        <v>-0.76</v>
      </c>
      <c r="J1072" s="1">
        <v>23.24</v>
      </c>
      <c r="K1072" s="1">
        <v>0</v>
      </c>
      <c r="L1072" s="1">
        <v>23.24</v>
      </c>
      <c r="M1072">
        <v>2</v>
      </c>
    </row>
    <row r="1073" spans="1:13" x14ac:dyDescent="0.2">
      <c r="A1073" t="s">
        <v>248</v>
      </c>
      <c r="B1073" t="s">
        <v>14</v>
      </c>
      <c r="C1073">
        <v>1312083</v>
      </c>
      <c r="D1073" t="s">
        <v>238</v>
      </c>
      <c r="E1073">
        <v>1</v>
      </c>
      <c r="F1073" s="1">
        <v>5.0999999999999996</v>
      </c>
      <c r="G1073">
        <v>0</v>
      </c>
      <c r="H1073" s="1">
        <v>0</v>
      </c>
      <c r="I1073" s="1">
        <v>0</v>
      </c>
      <c r="J1073" s="1">
        <v>5.0999999999999996</v>
      </c>
      <c r="K1073" s="1">
        <v>0</v>
      </c>
      <c r="L1073" s="1">
        <v>5.0999999999999996</v>
      </c>
      <c r="M1073">
        <v>1</v>
      </c>
    </row>
    <row r="1074" spans="1:13" x14ac:dyDescent="0.2">
      <c r="A1074" t="s">
        <v>591</v>
      </c>
      <c r="B1074" t="s">
        <v>14</v>
      </c>
      <c r="C1074">
        <v>9317466312235</v>
      </c>
      <c r="D1074" t="s">
        <v>238</v>
      </c>
      <c r="E1074">
        <v>2</v>
      </c>
      <c r="F1074" s="1">
        <v>13.6</v>
      </c>
      <c r="G1074">
        <v>0</v>
      </c>
      <c r="H1074" s="1">
        <v>0</v>
      </c>
      <c r="I1074" s="1">
        <v>0</v>
      </c>
      <c r="J1074" s="1">
        <v>13.6</v>
      </c>
      <c r="K1074" s="1">
        <v>0</v>
      </c>
      <c r="L1074" s="1">
        <v>13.6</v>
      </c>
      <c r="M1074">
        <v>2</v>
      </c>
    </row>
    <row r="1075" spans="1:13" x14ac:dyDescent="0.2">
      <c r="A1075" t="s">
        <v>724</v>
      </c>
      <c r="B1075" t="s">
        <v>14</v>
      </c>
      <c r="C1075">
        <v>100000026236</v>
      </c>
      <c r="D1075" t="s">
        <v>238</v>
      </c>
      <c r="E1075">
        <v>1</v>
      </c>
      <c r="F1075" s="1">
        <v>15</v>
      </c>
      <c r="G1075">
        <v>0</v>
      </c>
      <c r="H1075" s="1">
        <v>0</v>
      </c>
      <c r="I1075" s="1">
        <v>0</v>
      </c>
      <c r="J1075" s="1">
        <v>15</v>
      </c>
      <c r="K1075" s="1">
        <v>0</v>
      </c>
      <c r="L1075" s="1">
        <v>15</v>
      </c>
      <c r="M1075">
        <v>1</v>
      </c>
    </row>
    <row r="1076" spans="1:13" x14ac:dyDescent="0.2">
      <c r="A1076" t="s">
        <v>249</v>
      </c>
      <c r="B1076" t="s">
        <v>14</v>
      </c>
      <c r="C1076">
        <v>100000007433</v>
      </c>
      <c r="D1076" t="s">
        <v>238</v>
      </c>
      <c r="E1076">
        <v>6</v>
      </c>
      <c r="F1076" s="1">
        <v>11.55</v>
      </c>
      <c r="G1076">
        <v>0</v>
      </c>
      <c r="H1076" s="1">
        <v>0</v>
      </c>
      <c r="I1076" s="1">
        <v>-0.06</v>
      </c>
      <c r="J1076" s="1">
        <v>11.49</v>
      </c>
      <c r="K1076" s="1">
        <v>0</v>
      </c>
      <c r="L1076" s="1">
        <v>11.49</v>
      </c>
      <c r="M1076">
        <v>1.51</v>
      </c>
    </row>
    <row r="1077" spans="1:13" x14ac:dyDescent="0.2">
      <c r="A1077" t="s">
        <v>250</v>
      </c>
      <c r="B1077" t="s">
        <v>14</v>
      </c>
      <c r="C1077">
        <v>100000007457</v>
      </c>
      <c r="D1077" t="s">
        <v>238</v>
      </c>
      <c r="E1077">
        <v>6</v>
      </c>
      <c r="F1077" s="1">
        <v>18.920000000000002</v>
      </c>
      <c r="G1077">
        <v>0</v>
      </c>
      <c r="H1077" s="1">
        <v>0</v>
      </c>
      <c r="I1077" s="1">
        <v>-0.5</v>
      </c>
      <c r="J1077" s="1">
        <v>18.420000000000002</v>
      </c>
      <c r="K1077" s="1">
        <v>0</v>
      </c>
      <c r="L1077" s="1">
        <v>18.420000000000002</v>
      </c>
      <c r="M1077">
        <v>1.59</v>
      </c>
    </row>
    <row r="1078" spans="1:13" x14ac:dyDescent="0.2">
      <c r="A1078" t="s">
        <v>251</v>
      </c>
      <c r="B1078" t="s">
        <v>14</v>
      </c>
      <c r="C1078" t="s">
        <v>252</v>
      </c>
      <c r="D1078" t="s">
        <v>238</v>
      </c>
      <c r="E1078">
        <v>3</v>
      </c>
      <c r="F1078" s="1">
        <v>9.91</v>
      </c>
      <c r="G1078">
        <v>0</v>
      </c>
      <c r="H1078" s="1">
        <v>0</v>
      </c>
      <c r="I1078" s="1">
        <v>-0.95</v>
      </c>
      <c r="J1078" s="1">
        <v>8.9600000000000009</v>
      </c>
      <c r="K1078" s="1">
        <v>0</v>
      </c>
      <c r="L1078" s="1">
        <v>8.9600000000000009</v>
      </c>
      <c r="M1078">
        <v>1.665</v>
      </c>
    </row>
    <row r="1079" spans="1:13" x14ac:dyDescent="0.2">
      <c r="A1079" t="s">
        <v>942</v>
      </c>
      <c r="B1079" t="s">
        <v>14</v>
      </c>
      <c r="C1079">
        <v>100000010525</v>
      </c>
      <c r="D1079" t="s">
        <v>238</v>
      </c>
      <c r="E1079">
        <v>5</v>
      </c>
      <c r="F1079" s="1">
        <v>36.49</v>
      </c>
      <c r="G1079">
        <v>0</v>
      </c>
      <c r="H1079" s="1">
        <v>0</v>
      </c>
      <c r="I1079" s="1">
        <v>0</v>
      </c>
      <c r="J1079" s="1">
        <v>36.49</v>
      </c>
      <c r="K1079" s="1">
        <v>0</v>
      </c>
      <c r="L1079" s="1">
        <v>36.49</v>
      </c>
      <c r="M1079">
        <v>9</v>
      </c>
    </row>
    <row r="1080" spans="1:13" x14ac:dyDescent="0.2">
      <c r="A1080" t="s">
        <v>253</v>
      </c>
      <c r="B1080" t="s">
        <v>14</v>
      </c>
      <c r="C1080">
        <v>100000010549</v>
      </c>
      <c r="D1080" t="s">
        <v>238</v>
      </c>
      <c r="E1080">
        <v>2</v>
      </c>
      <c r="F1080" s="1">
        <v>6.12</v>
      </c>
      <c r="G1080">
        <v>0</v>
      </c>
      <c r="H1080" s="1">
        <v>0</v>
      </c>
      <c r="I1080" s="1">
        <v>-0.51</v>
      </c>
      <c r="J1080" s="1">
        <v>5.61</v>
      </c>
      <c r="K1080" s="1">
        <v>0</v>
      </c>
      <c r="L1080" s="1">
        <v>5.61</v>
      </c>
      <c r="M1080">
        <v>1.57</v>
      </c>
    </row>
    <row r="1081" spans="1:13" x14ac:dyDescent="0.2">
      <c r="A1081" t="s">
        <v>725</v>
      </c>
      <c r="B1081" t="s">
        <v>14</v>
      </c>
      <c r="C1081">
        <v>100000010587</v>
      </c>
      <c r="D1081" t="s">
        <v>238</v>
      </c>
      <c r="E1081">
        <v>2</v>
      </c>
      <c r="F1081" s="1">
        <v>9.5</v>
      </c>
      <c r="G1081">
        <v>0</v>
      </c>
      <c r="H1081" s="1">
        <v>0</v>
      </c>
      <c r="I1081" s="1">
        <v>0</v>
      </c>
      <c r="J1081" s="1">
        <v>9.5</v>
      </c>
      <c r="K1081" s="1">
        <v>0</v>
      </c>
      <c r="L1081" s="1">
        <v>9.5</v>
      </c>
      <c r="M1081">
        <v>2</v>
      </c>
    </row>
    <row r="1082" spans="1:13" x14ac:dyDescent="0.2">
      <c r="A1082" t="s">
        <v>494</v>
      </c>
      <c r="B1082" t="s">
        <v>14</v>
      </c>
      <c r="C1082" t="s">
        <v>495</v>
      </c>
      <c r="D1082" t="s">
        <v>238</v>
      </c>
      <c r="E1082">
        <v>4</v>
      </c>
      <c r="F1082" s="1">
        <v>38</v>
      </c>
      <c r="G1082">
        <v>0</v>
      </c>
      <c r="H1082" s="1">
        <v>0</v>
      </c>
      <c r="I1082" s="1">
        <v>-0.24</v>
      </c>
      <c r="J1082" s="1">
        <v>37.76</v>
      </c>
      <c r="K1082" s="1">
        <v>0</v>
      </c>
      <c r="L1082" s="1">
        <v>37.76</v>
      </c>
      <c r="M1082">
        <v>4</v>
      </c>
    </row>
    <row r="1083" spans="1:13" x14ac:dyDescent="0.2">
      <c r="A1083" t="s">
        <v>254</v>
      </c>
      <c r="B1083" t="s">
        <v>14</v>
      </c>
      <c r="C1083">
        <v>9651727</v>
      </c>
      <c r="D1083" t="s">
        <v>238</v>
      </c>
      <c r="E1083">
        <v>10</v>
      </c>
      <c r="F1083" s="1">
        <v>45.32</v>
      </c>
      <c r="G1083">
        <v>0</v>
      </c>
      <c r="H1083" s="1">
        <v>0</v>
      </c>
      <c r="I1083" s="1">
        <v>-1.52</v>
      </c>
      <c r="J1083" s="1">
        <v>43.8</v>
      </c>
      <c r="K1083" s="1">
        <v>0</v>
      </c>
      <c r="L1083" s="1">
        <v>43.8</v>
      </c>
      <c r="M1083">
        <v>5.33</v>
      </c>
    </row>
    <row r="1084" spans="1:13" x14ac:dyDescent="0.2">
      <c r="A1084" t="s">
        <v>443</v>
      </c>
      <c r="B1084" t="s">
        <v>14</v>
      </c>
      <c r="C1084">
        <v>9360661000070</v>
      </c>
      <c r="D1084" t="s">
        <v>238</v>
      </c>
      <c r="E1084">
        <v>10</v>
      </c>
      <c r="F1084" s="1">
        <v>116.7</v>
      </c>
      <c r="G1084">
        <v>0</v>
      </c>
      <c r="H1084" s="1">
        <v>0</v>
      </c>
      <c r="I1084" s="1">
        <v>-5.51</v>
      </c>
      <c r="J1084" s="1">
        <v>111.19</v>
      </c>
      <c r="K1084" s="1">
        <v>0</v>
      </c>
      <c r="L1084" s="1">
        <v>111.19</v>
      </c>
      <c r="M1084">
        <v>10</v>
      </c>
    </row>
    <row r="1085" spans="1:13" x14ac:dyDescent="0.2">
      <c r="A1085" t="s">
        <v>300</v>
      </c>
      <c r="B1085" t="s">
        <v>14</v>
      </c>
      <c r="C1085" t="s">
        <v>400</v>
      </c>
      <c r="D1085" t="s">
        <v>238</v>
      </c>
      <c r="E1085">
        <v>5</v>
      </c>
      <c r="F1085" s="1">
        <v>10.91</v>
      </c>
      <c r="G1085">
        <v>0</v>
      </c>
      <c r="H1085" s="1">
        <v>0</v>
      </c>
      <c r="I1085" s="1">
        <v>0</v>
      </c>
      <c r="J1085" s="1">
        <v>10.91</v>
      </c>
      <c r="K1085" s="1">
        <v>0</v>
      </c>
      <c r="L1085" s="1">
        <v>10.91</v>
      </c>
      <c r="M1085">
        <v>0.86199999999999999</v>
      </c>
    </row>
    <row r="1086" spans="1:13" x14ac:dyDescent="0.2">
      <c r="A1086" t="s">
        <v>255</v>
      </c>
      <c r="B1086" t="s">
        <v>14</v>
      </c>
      <c r="C1086">
        <v>100000010945</v>
      </c>
      <c r="D1086" t="s">
        <v>238</v>
      </c>
      <c r="E1086">
        <v>3</v>
      </c>
      <c r="F1086" s="1">
        <v>6.54</v>
      </c>
      <c r="G1086">
        <v>0</v>
      </c>
      <c r="H1086" s="1">
        <v>0</v>
      </c>
      <c r="I1086" s="1">
        <v>-0.13</v>
      </c>
      <c r="J1086" s="1">
        <v>6.41</v>
      </c>
      <c r="K1086" s="1">
        <v>0</v>
      </c>
      <c r="L1086" s="1">
        <v>6.41</v>
      </c>
      <c r="M1086">
        <v>0.14799999999999999</v>
      </c>
    </row>
    <row r="1087" spans="1:13" x14ac:dyDescent="0.2">
      <c r="A1087" t="s">
        <v>256</v>
      </c>
      <c r="B1087" t="s">
        <v>14</v>
      </c>
      <c r="C1087">
        <v>100000010983</v>
      </c>
      <c r="D1087" t="s">
        <v>238</v>
      </c>
      <c r="E1087">
        <v>8</v>
      </c>
      <c r="F1087" s="1">
        <v>31.9</v>
      </c>
      <c r="G1087">
        <v>0</v>
      </c>
      <c r="H1087" s="1">
        <v>0</v>
      </c>
      <c r="I1087" s="1">
        <v>-3.23</v>
      </c>
      <c r="J1087" s="1">
        <v>28.67</v>
      </c>
      <c r="K1087" s="1">
        <v>0</v>
      </c>
      <c r="L1087" s="1">
        <v>28.67</v>
      </c>
      <c r="M1087">
        <v>2.68</v>
      </c>
    </row>
    <row r="1088" spans="1:13" x14ac:dyDescent="0.2">
      <c r="A1088" t="s">
        <v>257</v>
      </c>
      <c r="B1088" t="s">
        <v>14</v>
      </c>
      <c r="C1088" t="s">
        <v>258</v>
      </c>
      <c r="D1088" t="s">
        <v>259</v>
      </c>
      <c r="E1088">
        <v>10</v>
      </c>
      <c r="F1088" s="1">
        <v>163.49</v>
      </c>
      <c r="G1088">
        <v>0</v>
      </c>
      <c r="H1088" s="1">
        <v>0</v>
      </c>
      <c r="I1088" s="1">
        <v>0</v>
      </c>
      <c r="J1088" s="1">
        <v>163.49</v>
      </c>
      <c r="K1088" s="1">
        <v>16.510000000000002</v>
      </c>
      <c r="L1088" s="1">
        <v>180</v>
      </c>
      <c r="M1088">
        <v>10</v>
      </c>
    </row>
    <row r="1089" spans="1:13" x14ac:dyDescent="0.2">
      <c r="A1089" t="s">
        <v>260</v>
      </c>
      <c r="B1089" t="s">
        <v>14</v>
      </c>
      <c r="C1089" t="s">
        <v>261</v>
      </c>
      <c r="D1089" t="s">
        <v>259</v>
      </c>
      <c r="E1089">
        <v>8</v>
      </c>
      <c r="F1089" s="1">
        <v>159.86000000000001</v>
      </c>
      <c r="G1089">
        <v>0</v>
      </c>
      <c r="H1089" s="1">
        <v>0</v>
      </c>
      <c r="I1089" s="1">
        <v>0</v>
      </c>
      <c r="J1089" s="1">
        <v>159.86000000000001</v>
      </c>
      <c r="K1089" s="1">
        <v>16.14</v>
      </c>
      <c r="L1089" s="1">
        <v>176</v>
      </c>
      <c r="M1089">
        <v>8</v>
      </c>
    </row>
    <row r="1090" spans="1:13" x14ac:dyDescent="0.2">
      <c r="A1090" t="s">
        <v>322</v>
      </c>
      <c r="B1090" t="s">
        <v>14</v>
      </c>
      <c r="C1090" t="s">
        <v>323</v>
      </c>
      <c r="D1090" t="s">
        <v>259</v>
      </c>
      <c r="E1090">
        <v>7</v>
      </c>
      <c r="F1090" s="1">
        <v>114.59</v>
      </c>
      <c r="G1090">
        <v>0</v>
      </c>
      <c r="H1090" s="1">
        <v>0</v>
      </c>
      <c r="I1090" s="1">
        <v>-1.57</v>
      </c>
      <c r="J1090" s="1">
        <v>113.02</v>
      </c>
      <c r="K1090" s="1">
        <v>11.41</v>
      </c>
      <c r="L1090" s="1">
        <v>124.43</v>
      </c>
      <c r="M1090">
        <v>7</v>
      </c>
    </row>
    <row r="1091" spans="1:13" x14ac:dyDescent="0.2">
      <c r="A1091" t="s">
        <v>401</v>
      </c>
      <c r="B1091" t="s">
        <v>14</v>
      </c>
      <c r="C1091" t="s">
        <v>402</v>
      </c>
      <c r="D1091" t="s">
        <v>259</v>
      </c>
      <c r="E1091">
        <v>11</v>
      </c>
      <c r="F1091" s="1">
        <v>115.15</v>
      </c>
      <c r="G1091">
        <v>0</v>
      </c>
      <c r="H1091" s="1">
        <v>0</v>
      </c>
      <c r="I1091" s="1">
        <v>-2.67</v>
      </c>
      <c r="J1091" s="1">
        <v>112.48</v>
      </c>
      <c r="K1091" s="1">
        <v>11.35</v>
      </c>
      <c r="L1091" s="1">
        <v>123.83</v>
      </c>
      <c r="M1091">
        <v>11</v>
      </c>
    </row>
    <row r="1092" spans="1:13" x14ac:dyDescent="0.2">
      <c r="A1092" t="s">
        <v>262</v>
      </c>
      <c r="B1092" t="s">
        <v>14</v>
      </c>
      <c r="C1092">
        <v>4816986</v>
      </c>
      <c r="D1092" t="s">
        <v>259</v>
      </c>
      <c r="E1092">
        <v>16</v>
      </c>
      <c r="F1092" s="1">
        <v>219.56</v>
      </c>
      <c r="G1092">
        <v>0</v>
      </c>
      <c r="H1092" s="1">
        <v>0</v>
      </c>
      <c r="I1092" s="1">
        <v>-17.55</v>
      </c>
      <c r="J1092" s="1">
        <v>202.01</v>
      </c>
      <c r="K1092" s="1">
        <v>20.440000000000001</v>
      </c>
      <c r="L1092" s="1">
        <v>222.45</v>
      </c>
      <c r="M1092">
        <v>16</v>
      </c>
    </row>
    <row r="1093" spans="1:13" x14ac:dyDescent="0.2">
      <c r="A1093" t="s">
        <v>403</v>
      </c>
      <c r="B1093" t="s">
        <v>14</v>
      </c>
      <c r="C1093" t="s">
        <v>404</v>
      </c>
      <c r="D1093" t="s">
        <v>259</v>
      </c>
      <c r="E1093">
        <v>12</v>
      </c>
      <c r="F1093" s="1">
        <v>101.26</v>
      </c>
      <c r="G1093">
        <v>0</v>
      </c>
      <c r="H1093" s="1">
        <v>0</v>
      </c>
      <c r="I1093" s="1">
        <v>-5</v>
      </c>
      <c r="J1093" s="1">
        <v>96.26</v>
      </c>
      <c r="K1093" s="1">
        <v>9.74</v>
      </c>
      <c r="L1093" s="1">
        <v>106</v>
      </c>
      <c r="M1093">
        <v>12</v>
      </c>
    </row>
    <row r="1094" spans="1:13" x14ac:dyDescent="0.2">
      <c r="A1094" t="s">
        <v>263</v>
      </c>
      <c r="B1094" t="s">
        <v>14</v>
      </c>
      <c r="C1094" t="s">
        <v>264</v>
      </c>
      <c r="D1094" t="s">
        <v>259</v>
      </c>
      <c r="E1094">
        <v>10</v>
      </c>
      <c r="F1094" s="1">
        <v>113.51</v>
      </c>
      <c r="G1094">
        <v>0</v>
      </c>
      <c r="H1094" s="1">
        <v>0</v>
      </c>
      <c r="I1094" s="1">
        <v>0</v>
      </c>
      <c r="J1094" s="1">
        <v>113.51</v>
      </c>
      <c r="K1094" s="1">
        <v>11.49</v>
      </c>
      <c r="L1094" s="1">
        <v>125</v>
      </c>
      <c r="M1094">
        <v>10</v>
      </c>
    </row>
    <row r="1095" spans="1:13" x14ac:dyDescent="0.2">
      <c r="A1095" t="s">
        <v>265</v>
      </c>
      <c r="B1095" t="s">
        <v>14</v>
      </c>
      <c r="C1095">
        <v>5814744</v>
      </c>
      <c r="D1095" t="s">
        <v>259</v>
      </c>
      <c r="E1095">
        <v>18</v>
      </c>
      <c r="F1095" s="1">
        <v>361.66</v>
      </c>
      <c r="G1095">
        <v>0</v>
      </c>
      <c r="H1095" s="1">
        <v>0</v>
      </c>
      <c r="I1095" s="1">
        <v>-21.98</v>
      </c>
      <c r="J1095" s="1">
        <v>339.68</v>
      </c>
      <c r="K1095" s="1">
        <v>34.340000000000003</v>
      </c>
      <c r="L1095" s="1">
        <v>374.02</v>
      </c>
      <c r="M1095">
        <v>18</v>
      </c>
    </row>
    <row r="1096" spans="1:13" x14ac:dyDescent="0.2">
      <c r="A1096" t="s">
        <v>266</v>
      </c>
      <c r="B1096" t="s">
        <v>14</v>
      </c>
      <c r="C1096" t="s">
        <v>267</v>
      </c>
      <c r="D1096" t="s">
        <v>259</v>
      </c>
      <c r="E1096">
        <v>10</v>
      </c>
      <c r="F1096" s="1">
        <v>182.2</v>
      </c>
      <c r="G1096">
        <v>0</v>
      </c>
      <c r="H1096" s="1">
        <v>0</v>
      </c>
      <c r="I1096" s="1">
        <v>-6</v>
      </c>
      <c r="J1096" s="1">
        <v>176.2</v>
      </c>
      <c r="K1096" s="1">
        <v>17.8</v>
      </c>
      <c r="L1096" s="1">
        <v>194</v>
      </c>
      <c r="M1096">
        <v>10</v>
      </c>
    </row>
    <row r="1097" spans="1:13" x14ac:dyDescent="0.2">
      <c r="A1097" t="s">
        <v>268</v>
      </c>
      <c r="B1097" t="s">
        <v>14</v>
      </c>
      <c r="C1097" t="s">
        <v>269</v>
      </c>
      <c r="D1097" t="s">
        <v>259</v>
      </c>
      <c r="E1097">
        <v>14</v>
      </c>
      <c r="F1097" s="1">
        <v>178.87</v>
      </c>
      <c r="G1097">
        <v>0</v>
      </c>
      <c r="H1097" s="1">
        <v>0</v>
      </c>
      <c r="I1097" s="1">
        <v>-9.8000000000000007</v>
      </c>
      <c r="J1097" s="1">
        <v>169.07</v>
      </c>
      <c r="K1097" s="1">
        <v>17.13</v>
      </c>
      <c r="L1097" s="1">
        <v>186.2</v>
      </c>
      <c r="M1097">
        <v>14</v>
      </c>
    </row>
    <row r="1098" spans="1:13" x14ac:dyDescent="0.2">
      <c r="A1098" t="s">
        <v>270</v>
      </c>
      <c r="B1098" t="s">
        <v>14</v>
      </c>
      <c r="C1098">
        <v>7833773</v>
      </c>
      <c r="D1098" t="s">
        <v>259</v>
      </c>
      <c r="E1098">
        <v>32</v>
      </c>
      <c r="F1098" s="1">
        <v>528.25</v>
      </c>
      <c r="G1098">
        <v>0</v>
      </c>
      <c r="H1098" s="1">
        <v>0</v>
      </c>
      <c r="I1098" s="1">
        <v>-55.97</v>
      </c>
      <c r="J1098" s="1">
        <v>472.28</v>
      </c>
      <c r="K1098" s="1">
        <v>47.75</v>
      </c>
      <c r="L1098" s="1">
        <v>520.03</v>
      </c>
      <c r="M1098">
        <v>32</v>
      </c>
    </row>
    <row r="1100" spans="1:13" x14ac:dyDescent="0.2">
      <c r="F1100" s="1"/>
      <c r="H1100" s="1"/>
      <c r="I1100" s="1"/>
      <c r="J1100" s="1"/>
      <c r="K1100" s="1"/>
      <c r="L1100" s="1"/>
    </row>
    <row r="1101" spans="1:13" x14ac:dyDescent="0.2">
      <c r="F1101" s="1"/>
      <c r="H1101" s="1"/>
      <c r="I1101" s="1"/>
      <c r="J1101" s="1"/>
      <c r="K1101" s="1"/>
      <c r="L1101" s="1"/>
    </row>
    <row r="1102" spans="1:13" x14ac:dyDescent="0.2">
      <c r="F1102" s="1"/>
      <c r="H1102" s="1"/>
      <c r="I1102" s="1"/>
      <c r="J1102" s="1"/>
      <c r="K1102" s="1"/>
      <c r="L1102" s="1"/>
    </row>
    <row r="1103" spans="1:13" x14ac:dyDescent="0.2">
      <c r="F1103" s="1"/>
      <c r="H1103" s="1"/>
      <c r="I1103" s="1"/>
      <c r="J1103" s="1"/>
      <c r="K1103" s="1"/>
      <c r="L1103" s="1"/>
    </row>
    <row r="1104" spans="1:13" x14ac:dyDescent="0.2">
      <c r="F1104" s="1"/>
      <c r="H1104" s="1"/>
      <c r="I1104" s="1"/>
      <c r="J1104" s="1"/>
      <c r="K1104" s="1"/>
      <c r="L1104" s="1"/>
    </row>
    <row r="1105" spans="6:12" x14ac:dyDescent="0.2">
      <c r="F1105" s="1"/>
      <c r="H1105" s="1"/>
      <c r="I1105" s="1"/>
      <c r="J1105" s="1"/>
      <c r="K1105" s="1"/>
      <c r="L1105" s="1"/>
    </row>
    <row r="1106" spans="6:12" x14ac:dyDescent="0.2">
      <c r="F1106" s="1"/>
      <c r="H1106" s="1"/>
      <c r="I1106" s="1"/>
      <c r="J1106" s="1"/>
      <c r="K1106" s="1"/>
      <c r="L1106" s="1"/>
    </row>
    <row r="1107" spans="6:12" x14ac:dyDescent="0.2">
      <c r="F1107" s="1"/>
      <c r="H1107" s="1"/>
      <c r="I1107" s="1"/>
      <c r="J1107" s="1"/>
      <c r="K1107" s="1"/>
      <c r="L1107" s="1"/>
    </row>
    <row r="1108" spans="6:12" x14ac:dyDescent="0.2">
      <c r="F1108" s="1"/>
      <c r="H1108" s="1"/>
      <c r="I1108" s="1"/>
      <c r="J1108" s="1"/>
      <c r="K1108" s="1"/>
      <c r="L1108" s="1"/>
    </row>
    <row r="1109" spans="6:12" x14ac:dyDescent="0.2">
      <c r="F1109" s="1"/>
      <c r="H1109" s="1"/>
      <c r="I1109" s="1"/>
      <c r="J1109" s="1"/>
      <c r="K1109" s="1"/>
      <c r="L1109" s="1"/>
    </row>
    <row r="1110" spans="6:12" x14ac:dyDescent="0.2">
      <c r="F1110" s="1"/>
      <c r="H1110" s="1"/>
      <c r="I1110" s="1"/>
      <c r="J1110" s="1"/>
      <c r="K1110" s="1"/>
      <c r="L1110" s="1"/>
    </row>
    <row r="1111" spans="6:12" x14ac:dyDescent="0.2">
      <c r="F1111" s="1"/>
      <c r="H1111" s="1"/>
      <c r="I1111" s="1"/>
      <c r="J1111" s="1"/>
      <c r="K1111" s="1"/>
      <c r="L1111" s="1"/>
    </row>
    <row r="1112" spans="6:12" x14ac:dyDescent="0.2">
      <c r="F1112" s="1"/>
      <c r="H1112" s="1"/>
      <c r="I1112" s="1"/>
      <c r="J1112" s="1"/>
      <c r="K1112" s="1"/>
      <c r="L1112" s="1"/>
    </row>
    <row r="1113" spans="6:12" x14ac:dyDescent="0.2">
      <c r="F1113" s="1"/>
      <c r="H1113" s="1"/>
      <c r="I1113" s="1"/>
      <c r="J1113" s="1"/>
      <c r="K1113" s="1"/>
      <c r="L1113" s="1"/>
    </row>
    <row r="1114" spans="6:12" x14ac:dyDescent="0.2">
      <c r="F1114" s="1"/>
      <c r="H1114" s="1"/>
      <c r="I1114" s="1"/>
      <c r="J1114" s="1"/>
      <c r="K1114" s="1"/>
      <c r="L1114" s="1"/>
    </row>
    <row r="1115" spans="6:12" x14ac:dyDescent="0.2">
      <c r="F1115" s="1"/>
      <c r="H1115" s="1"/>
      <c r="I1115" s="1"/>
      <c r="J1115" s="1"/>
      <c r="K1115" s="1"/>
      <c r="L1115" s="1"/>
    </row>
    <row r="1116" spans="6:12" x14ac:dyDescent="0.2">
      <c r="F1116" s="1"/>
      <c r="H1116" s="1"/>
      <c r="I1116" s="1"/>
      <c r="J1116" s="1"/>
      <c r="K1116" s="1"/>
      <c r="L1116" s="1"/>
    </row>
    <row r="1117" spans="6:12" x14ac:dyDescent="0.2">
      <c r="F1117" s="1"/>
      <c r="H1117" s="1"/>
      <c r="I1117" s="1"/>
      <c r="J1117" s="1"/>
      <c r="K1117" s="1"/>
      <c r="L1117" s="1"/>
    </row>
    <row r="1118" spans="6:12" x14ac:dyDescent="0.2">
      <c r="F1118" s="1"/>
      <c r="H1118" s="1"/>
      <c r="I1118" s="1"/>
      <c r="J1118" s="1"/>
      <c r="K1118" s="1"/>
      <c r="L1118" s="1"/>
    </row>
    <row r="1119" spans="6:12" x14ac:dyDescent="0.2">
      <c r="F1119" s="1"/>
      <c r="H1119" s="1"/>
      <c r="I1119" s="1"/>
      <c r="J1119" s="1"/>
      <c r="K1119" s="1"/>
      <c r="L1119" s="1"/>
    </row>
    <row r="1120" spans="6:12" x14ac:dyDescent="0.2">
      <c r="F1120" s="1"/>
      <c r="H1120" s="1"/>
      <c r="I1120" s="1"/>
      <c r="J1120" s="1"/>
      <c r="K1120" s="1"/>
      <c r="L1120" s="1"/>
    </row>
    <row r="1121" spans="6:12" x14ac:dyDescent="0.2">
      <c r="F1121" s="1"/>
      <c r="H1121" s="1"/>
      <c r="I1121" s="1"/>
      <c r="J1121" s="1"/>
      <c r="K1121" s="1"/>
      <c r="L1121" s="1"/>
    </row>
    <row r="1122" spans="6:12" x14ac:dyDescent="0.2">
      <c r="F1122" s="1"/>
      <c r="H1122" s="1"/>
      <c r="I1122" s="1"/>
      <c r="J1122" s="1"/>
      <c r="K1122" s="1"/>
      <c r="L1122" s="1"/>
    </row>
    <row r="1123" spans="6:12" x14ac:dyDescent="0.2">
      <c r="F1123" s="1"/>
      <c r="H1123" s="1"/>
      <c r="I1123" s="1"/>
      <c r="J1123" s="1"/>
      <c r="K1123" s="1"/>
      <c r="L1123" s="1"/>
    </row>
    <row r="1124" spans="6:12" x14ac:dyDescent="0.2">
      <c r="F1124" s="1"/>
      <c r="H1124" s="1"/>
      <c r="I1124" s="1"/>
      <c r="J1124" s="1"/>
      <c r="K1124" s="1"/>
      <c r="L1124" s="1"/>
    </row>
    <row r="1125" spans="6:12" x14ac:dyDescent="0.2">
      <c r="F1125" s="1"/>
      <c r="H1125" s="1"/>
      <c r="I1125" s="1"/>
      <c r="J1125" s="1"/>
      <c r="K1125" s="1"/>
      <c r="L1125" s="1"/>
    </row>
    <row r="1126" spans="6:12" x14ac:dyDescent="0.2">
      <c r="F1126" s="1"/>
      <c r="H1126" s="1"/>
      <c r="I1126" s="1"/>
      <c r="J1126" s="1"/>
      <c r="K1126" s="1"/>
      <c r="L1126" s="1"/>
    </row>
    <row r="1127" spans="6:12" x14ac:dyDescent="0.2">
      <c r="F1127" s="1"/>
      <c r="H1127" s="1"/>
      <c r="I1127" s="1"/>
      <c r="J1127" s="1"/>
      <c r="K1127" s="1"/>
      <c r="L1127" s="1"/>
    </row>
    <row r="1128" spans="6:12" x14ac:dyDescent="0.2">
      <c r="F1128" s="1"/>
      <c r="H1128" s="1"/>
      <c r="I1128" s="1"/>
      <c r="J1128" s="1"/>
      <c r="K1128" s="1"/>
      <c r="L1128" s="1"/>
    </row>
    <row r="1129" spans="6:12" x14ac:dyDescent="0.2">
      <c r="F1129" s="1"/>
      <c r="H1129" s="1"/>
      <c r="I1129" s="1"/>
      <c r="J1129" s="1"/>
      <c r="K1129" s="1"/>
      <c r="L1129" s="1"/>
    </row>
    <row r="1130" spans="6:12" x14ac:dyDescent="0.2">
      <c r="F1130" s="1"/>
      <c r="H1130" s="1"/>
      <c r="I1130" s="1"/>
      <c r="J1130" s="1"/>
      <c r="K1130" s="1"/>
      <c r="L1130" s="1"/>
    </row>
    <row r="1131" spans="6:12" x14ac:dyDescent="0.2">
      <c r="F1131" s="1"/>
      <c r="H1131" s="1"/>
      <c r="I1131" s="1"/>
      <c r="J1131" s="1"/>
      <c r="K1131" s="1"/>
      <c r="L1131" s="1"/>
    </row>
    <row r="1132" spans="6:12" x14ac:dyDescent="0.2">
      <c r="F1132" s="1"/>
      <c r="H1132" s="1"/>
      <c r="I1132" s="1"/>
      <c r="J1132" s="1"/>
      <c r="K1132" s="1"/>
      <c r="L1132" s="1"/>
    </row>
    <row r="1133" spans="6:12" x14ac:dyDescent="0.2">
      <c r="F1133" s="1"/>
      <c r="H1133" s="1"/>
      <c r="I1133" s="1"/>
      <c r="J1133" s="1"/>
      <c r="K1133" s="1"/>
      <c r="L1133" s="1"/>
    </row>
    <row r="1134" spans="6:12" x14ac:dyDescent="0.2">
      <c r="F1134" s="1"/>
      <c r="H1134" s="1"/>
      <c r="I1134" s="1"/>
      <c r="J1134" s="1"/>
      <c r="K1134" s="1"/>
      <c r="L1134" s="1"/>
    </row>
    <row r="1135" spans="6:12" x14ac:dyDescent="0.2">
      <c r="F1135" s="1"/>
      <c r="H1135" s="1"/>
      <c r="I1135" s="1"/>
      <c r="J1135" s="1"/>
      <c r="K1135" s="1"/>
      <c r="L1135" s="1"/>
    </row>
    <row r="1136" spans="6:12" x14ac:dyDescent="0.2">
      <c r="F1136" s="1"/>
      <c r="H1136" s="1"/>
      <c r="I1136" s="1"/>
      <c r="J1136" s="1"/>
      <c r="K1136" s="1"/>
      <c r="L1136" s="1"/>
    </row>
    <row r="1137" spans="6:12" x14ac:dyDescent="0.2">
      <c r="F1137" s="1"/>
      <c r="H1137" s="1"/>
      <c r="I1137" s="1"/>
      <c r="J1137" s="1"/>
      <c r="K1137" s="1"/>
      <c r="L1137" s="1"/>
    </row>
    <row r="1138" spans="6:12" x14ac:dyDescent="0.2">
      <c r="F1138" s="1"/>
      <c r="H1138" s="1"/>
      <c r="I1138" s="1"/>
      <c r="J1138" s="1"/>
      <c r="K1138" s="1"/>
      <c r="L1138" s="1"/>
    </row>
    <row r="1139" spans="6:12" x14ac:dyDescent="0.2">
      <c r="F1139" s="1"/>
      <c r="H1139" s="1"/>
      <c r="I1139" s="1"/>
      <c r="J1139" s="1"/>
      <c r="K1139" s="1"/>
      <c r="L1139" s="1"/>
    </row>
    <row r="1140" spans="6:12" x14ac:dyDescent="0.2">
      <c r="F1140" s="1"/>
      <c r="H1140" s="1"/>
      <c r="I1140" s="1"/>
      <c r="J1140" s="1"/>
      <c r="K1140" s="1"/>
      <c r="L1140" s="1"/>
    </row>
    <row r="1141" spans="6:12" x14ac:dyDescent="0.2">
      <c r="F1141" s="1"/>
      <c r="H1141" s="1"/>
      <c r="I1141" s="1"/>
      <c r="J1141" s="1"/>
      <c r="K1141" s="1"/>
      <c r="L1141" s="1"/>
    </row>
    <row r="1142" spans="6:12" x14ac:dyDescent="0.2">
      <c r="F1142" s="1"/>
      <c r="H1142" s="1"/>
      <c r="I1142" s="1"/>
      <c r="J1142" s="1"/>
      <c r="K1142" s="1"/>
      <c r="L1142" s="1"/>
    </row>
    <row r="1143" spans="6:12" x14ac:dyDescent="0.2">
      <c r="F1143" s="1"/>
      <c r="H1143" s="1"/>
      <c r="I1143" s="1"/>
      <c r="J1143" s="1"/>
      <c r="K1143" s="1"/>
      <c r="L1143" s="1"/>
    </row>
    <row r="1144" spans="6:12" x14ac:dyDescent="0.2">
      <c r="F1144" s="1"/>
      <c r="H1144" s="1"/>
      <c r="I1144" s="1"/>
      <c r="J1144" s="1"/>
      <c r="K1144" s="1"/>
      <c r="L1144" s="1"/>
    </row>
    <row r="1145" spans="6:12" x14ac:dyDescent="0.2">
      <c r="F1145" s="1"/>
      <c r="H1145" s="1"/>
      <c r="I1145" s="1"/>
      <c r="J1145" s="1"/>
      <c r="K1145" s="1"/>
      <c r="L1145" s="1"/>
    </row>
    <row r="1146" spans="6:12" x14ac:dyDescent="0.2">
      <c r="F1146" s="1"/>
      <c r="H1146" s="1"/>
      <c r="I1146" s="1"/>
      <c r="J1146" s="1"/>
      <c r="K1146" s="1"/>
      <c r="L1146" s="1"/>
    </row>
    <row r="1147" spans="6:12" x14ac:dyDescent="0.2">
      <c r="F1147" s="1"/>
      <c r="H1147" s="1"/>
      <c r="I1147" s="1"/>
      <c r="J1147" s="1"/>
      <c r="K1147" s="1"/>
      <c r="L1147" s="1"/>
    </row>
    <row r="1148" spans="6:12" x14ac:dyDescent="0.2">
      <c r="F1148" s="1"/>
      <c r="H1148" s="1"/>
      <c r="I1148" s="1"/>
      <c r="J1148" s="1"/>
      <c r="K1148" s="1"/>
      <c r="L1148" s="1"/>
    </row>
    <row r="1149" spans="6:12" x14ac:dyDescent="0.2">
      <c r="F1149" s="1"/>
      <c r="H1149" s="1"/>
      <c r="I1149" s="1"/>
      <c r="J1149" s="1"/>
      <c r="K1149" s="1"/>
      <c r="L1149" s="1"/>
    </row>
    <row r="1150" spans="6:12" x14ac:dyDescent="0.2">
      <c r="F1150" s="1"/>
      <c r="H1150" s="1"/>
      <c r="I1150" s="1"/>
      <c r="J1150" s="1"/>
      <c r="K1150" s="1"/>
      <c r="L1150" s="1"/>
    </row>
    <row r="1151" spans="6:12" x14ac:dyDescent="0.2">
      <c r="F1151" s="1"/>
      <c r="H1151" s="1"/>
      <c r="I1151" s="1"/>
      <c r="J1151" s="1"/>
      <c r="K1151" s="1"/>
      <c r="L1151" s="1"/>
    </row>
    <row r="1152" spans="6:12" x14ac:dyDescent="0.2">
      <c r="F1152" s="1"/>
      <c r="H1152" s="1"/>
      <c r="I1152" s="1"/>
      <c r="J1152" s="1"/>
      <c r="K1152" s="1"/>
      <c r="L1152" s="1"/>
    </row>
    <row r="1153" spans="6:12" x14ac:dyDescent="0.2">
      <c r="F1153" s="1"/>
      <c r="H1153" s="1"/>
      <c r="I1153" s="1"/>
      <c r="J1153" s="1"/>
      <c r="K1153" s="1"/>
      <c r="L1153" s="1"/>
    </row>
    <row r="1154" spans="6:12" x14ac:dyDescent="0.2">
      <c r="F1154" s="1"/>
      <c r="H1154" s="1"/>
      <c r="I1154" s="1"/>
      <c r="J1154" s="1"/>
      <c r="K1154" s="1"/>
      <c r="L1154" s="1"/>
    </row>
    <row r="1155" spans="6:12" x14ac:dyDescent="0.2">
      <c r="F1155" s="1"/>
      <c r="H1155" s="1"/>
      <c r="I1155" s="1"/>
      <c r="J1155" s="1"/>
      <c r="K1155" s="1"/>
      <c r="L1155" s="1"/>
    </row>
    <row r="1156" spans="6:12" x14ac:dyDescent="0.2">
      <c r="F1156" s="1"/>
      <c r="H1156" s="1"/>
      <c r="I1156" s="1"/>
      <c r="J1156" s="1"/>
      <c r="K1156" s="1"/>
      <c r="L1156" s="1"/>
    </row>
    <row r="1157" spans="6:12" x14ac:dyDescent="0.2">
      <c r="F1157" s="1"/>
      <c r="H1157" s="1"/>
      <c r="I1157" s="1"/>
      <c r="J1157" s="1"/>
      <c r="K1157" s="1"/>
      <c r="L1157" s="1"/>
    </row>
    <row r="1158" spans="6:12" x14ac:dyDescent="0.2">
      <c r="F1158" s="1"/>
      <c r="H1158" s="1"/>
      <c r="I1158" s="1"/>
      <c r="J1158" s="1"/>
      <c r="K1158" s="1"/>
      <c r="L1158" s="1"/>
    </row>
    <row r="1159" spans="6:12" x14ac:dyDescent="0.2">
      <c r="F1159" s="1"/>
      <c r="H1159" s="1"/>
      <c r="I1159" s="1"/>
      <c r="J1159" s="1"/>
      <c r="K1159" s="1"/>
      <c r="L1159" s="1"/>
    </row>
    <row r="1160" spans="6:12" x14ac:dyDescent="0.2">
      <c r="F1160" s="1"/>
      <c r="H1160" s="1"/>
      <c r="I1160" s="1"/>
      <c r="J1160" s="1"/>
      <c r="K1160" s="1"/>
      <c r="L1160" s="1"/>
    </row>
    <row r="1161" spans="6:12" x14ac:dyDescent="0.2">
      <c r="F1161" s="1"/>
      <c r="H1161" s="1"/>
      <c r="I1161" s="1"/>
      <c r="J1161" s="1"/>
      <c r="K1161" s="1"/>
      <c r="L1161" s="1"/>
    </row>
    <row r="1162" spans="6:12" x14ac:dyDescent="0.2">
      <c r="F1162" s="1"/>
      <c r="H1162" s="1"/>
      <c r="I1162" s="1"/>
      <c r="J1162" s="1"/>
      <c r="K1162" s="1"/>
      <c r="L1162" s="1"/>
    </row>
    <row r="1163" spans="6:12" x14ac:dyDescent="0.2">
      <c r="F1163" s="1"/>
      <c r="H1163" s="1"/>
      <c r="I1163" s="1"/>
      <c r="J1163" s="1"/>
      <c r="K1163" s="1"/>
      <c r="L1163" s="1"/>
    </row>
    <row r="1164" spans="6:12" x14ac:dyDescent="0.2">
      <c r="F1164" s="1"/>
      <c r="H1164" s="1"/>
      <c r="I1164" s="1"/>
      <c r="J1164" s="1"/>
      <c r="K1164" s="1"/>
      <c r="L1164" s="1"/>
    </row>
    <row r="1165" spans="6:12" x14ac:dyDescent="0.2">
      <c r="F1165" s="1"/>
      <c r="H1165" s="1"/>
      <c r="I1165" s="1"/>
      <c r="J1165" s="1"/>
      <c r="K1165" s="1"/>
      <c r="L1165" s="1"/>
    </row>
    <row r="1166" spans="6:12" x14ac:dyDescent="0.2">
      <c r="F1166" s="1"/>
      <c r="H1166" s="1"/>
      <c r="I1166" s="1"/>
      <c r="J1166" s="1"/>
      <c r="K1166" s="1"/>
      <c r="L1166" s="1"/>
    </row>
    <row r="1167" spans="6:12" x14ac:dyDescent="0.2">
      <c r="F1167" s="1"/>
      <c r="H1167" s="1"/>
      <c r="I1167" s="1"/>
      <c r="J1167" s="1"/>
      <c r="K1167" s="1"/>
      <c r="L1167" s="1"/>
    </row>
    <row r="1168" spans="6:12" x14ac:dyDescent="0.2">
      <c r="F1168" s="1"/>
      <c r="H1168" s="1"/>
      <c r="I1168" s="1"/>
      <c r="J1168" s="1"/>
      <c r="K1168" s="1"/>
      <c r="L1168" s="1"/>
    </row>
    <row r="1169" spans="6:12" x14ac:dyDescent="0.2">
      <c r="F1169" s="1"/>
      <c r="H1169" s="1"/>
      <c r="I1169" s="1"/>
      <c r="J1169" s="1"/>
      <c r="K1169" s="1"/>
      <c r="L1169" s="1"/>
    </row>
    <row r="1170" spans="6:12" x14ac:dyDescent="0.2">
      <c r="F1170" s="1"/>
      <c r="H1170" s="1"/>
      <c r="I1170" s="1"/>
      <c r="J1170" s="1"/>
      <c r="K1170" s="1"/>
      <c r="L1170" s="1"/>
    </row>
    <row r="1171" spans="6:12" x14ac:dyDescent="0.2">
      <c r="F1171" s="1"/>
      <c r="H1171" s="1"/>
      <c r="I1171" s="1"/>
      <c r="J1171" s="1"/>
      <c r="K1171" s="1"/>
      <c r="L1171" s="1"/>
    </row>
    <row r="1172" spans="6:12" x14ac:dyDescent="0.2">
      <c r="F1172" s="1"/>
      <c r="H1172" s="1"/>
      <c r="I1172" s="1"/>
      <c r="J1172" s="1"/>
      <c r="K1172" s="1"/>
      <c r="L1172" s="1"/>
    </row>
    <row r="1173" spans="6:12" x14ac:dyDescent="0.2">
      <c r="F1173" s="1"/>
      <c r="H1173" s="1"/>
      <c r="I1173" s="1"/>
      <c r="J1173" s="1"/>
      <c r="K1173" s="1"/>
      <c r="L1173" s="1"/>
    </row>
    <row r="1174" spans="6:12" x14ac:dyDescent="0.2">
      <c r="F1174" s="1"/>
      <c r="H1174" s="1"/>
      <c r="I1174" s="1"/>
      <c r="J1174" s="1"/>
      <c r="K1174" s="1"/>
      <c r="L1174" s="1"/>
    </row>
    <row r="1175" spans="6:12" x14ac:dyDescent="0.2">
      <c r="F1175" s="1"/>
      <c r="H1175" s="1"/>
      <c r="I1175" s="1"/>
      <c r="J1175" s="1"/>
      <c r="K1175" s="1"/>
      <c r="L1175" s="1"/>
    </row>
    <row r="1176" spans="6:12" x14ac:dyDescent="0.2">
      <c r="F1176" s="1"/>
      <c r="H1176" s="1"/>
      <c r="I1176" s="1"/>
      <c r="J1176" s="1"/>
      <c r="K1176" s="1"/>
      <c r="L1176" s="1"/>
    </row>
    <row r="1177" spans="6:12" x14ac:dyDescent="0.2">
      <c r="F1177" s="1"/>
      <c r="H1177" s="1"/>
      <c r="I1177" s="1"/>
      <c r="J1177" s="1"/>
      <c r="K1177" s="1"/>
      <c r="L1177" s="1"/>
    </row>
    <row r="1178" spans="6:12" x14ac:dyDescent="0.2">
      <c r="F1178" s="1"/>
      <c r="H1178" s="1"/>
      <c r="I1178" s="1"/>
      <c r="J1178" s="1"/>
      <c r="K1178" s="1"/>
      <c r="L1178" s="1"/>
    </row>
    <row r="1179" spans="6:12" x14ac:dyDescent="0.2">
      <c r="F1179" s="1"/>
      <c r="H1179" s="1"/>
      <c r="I1179" s="1"/>
      <c r="J1179" s="1"/>
      <c r="K1179" s="1"/>
      <c r="L1179" s="1"/>
    </row>
    <row r="1180" spans="6:12" x14ac:dyDescent="0.2">
      <c r="F1180" s="1"/>
      <c r="H1180" s="1"/>
      <c r="I1180" s="1"/>
      <c r="J1180" s="1"/>
      <c r="K1180" s="1"/>
      <c r="L1180" s="1"/>
    </row>
    <row r="1181" spans="6:12" x14ac:dyDescent="0.2">
      <c r="F1181" s="1"/>
      <c r="H1181" s="1"/>
      <c r="I1181" s="1"/>
      <c r="J1181" s="1"/>
      <c r="K1181" s="1"/>
      <c r="L1181" s="1"/>
    </row>
    <row r="1182" spans="6:12" x14ac:dyDescent="0.2">
      <c r="F1182" s="1"/>
      <c r="H1182" s="1"/>
      <c r="I1182" s="1"/>
      <c r="J1182" s="1"/>
      <c r="K1182" s="1"/>
      <c r="L1182" s="1"/>
    </row>
    <row r="1183" spans="6:12" x14ac:dyDescent="0.2">
      <c r="F1183" s="1"/>
      <c r="H1183" s="1"/>
      <c r="I1183" s="1"/>
      <c r="J1183" s="1"/>
      <c r="K1183" s="1"/>
      <c r="L1183" s="1"/>
    </row>
    <row r="1184" spans="6:12" x14ac:dyDescent="0.2">
      <c r="F1184" s="1"/>
      <c r="H1184" s="1"/>
      <c r="I1184" s="1"/>
      <c r="J1184" s="1"/>
      <c r="K1184" s="1"/>
      <c r="L1184" s="1"/>
    </row>
    <row r="1185" spans="6:12" x14ac:dyDescent="0.2">
      <c r="F1185" s="1"/>
      <c r="H1185" s="1"/>
      <c r="I1185" s="1"/>
      <c r="J1185" s="1"/>
      <c r="K1185" s="1"/>
      <c r="L1185" s="1"/>
    </row>
    <row r="1186" spans="6:12" x14ac:dyDescent="0.2">
      <c r="F1186" s="1"/>
      <c r="H1186" s="1"/>
      <c r="I1186" s="1"/>
      <c r="J1186" s="1"/>
      <c r="K1186" s="1"/>
      <c r="L1186" s="1"/>
    </row>
    <row r="1187" spans="6:12" x14ac:dyDescent="0.2">
      <c r="F1187" s="1"/>
      <c r="H1187" s="1"/>
      <c r="I1187" s="1"/>
      <c r="J1187" s="1"/>
      <c r="K1187" s="1"/>
      <c r="L1187" s="1"/>
    </row>
    <row r="1188" spans="6:12" x14ac:dyDescent="0.2">
      <c r="F1188" s="1"/>
      <c r="H1188" s="1"/>
      <c r="I1188" s="1"/>
      <c r="J1188" s="1"/>
      <c r="K1188" s="1"/>
      <c r="L1188" s="1"/>
    </row>
    <row r="1189" spans="6:12" x14ac:dyDescent="0.2">
      <c r="F1189" s="1"/>
      <c r="H1189" s="1"/>
      <c r="I1189" s="1"/>
      <c r="J1189" s="1"/>
      <c r="K1189" s="1"/>
      <c r="L1189" s="1"/>
    </row>
    <row r="1190" spans="6:12" x14ac:dyDescent="0.2">
      <c r="F1190" s="1"/>
      <c r="H1190" s="1"/>
      <c r="I1190" s="1"/>
      <c r="J1190" s="1"/>
      <c r="K1190" s="1"/>
      <c r="L1190" s="1"/>
    </row>
    <row r="1191" spans="6:12" x14ac:dyDescent="0.2">
      <c r="F1191" s="1"/>
      <c r="H1191" s="1"/>
      <c r="I1191" s="1"/>
      <c r="J1191" s="1"/>
      <c r="K1191" s="1"/>
      <c r="L1191" s="1"/>
    </row>
    <row r="1192" spans="6:12" x14ac:dyDescent="0.2">
      <c r="F1192" s="1"/>
      <c r="H1192" s="1"/>
      <c r="I1192" s="1"/>
      <c r="J1192" s="1"/>
      <c r="K1192" s="1"/>
      <c r="L1192" s="1"/>
    </row>
    <row r="1193" spans="6:12" x14ac:dyDescent="0.2">
      <c r="F1193" s="1"/>
      <c r="H1193" s="1"/>
      <c r="I1193" s="1"/>
      <c r="J1193" s="1"/>
      <c r="K1193" s="1"/>
      <c r="L1193" s="1"/>
    </row>
    <row r="1194" spans="6:12" x14ac:dyDescent="0.2">
      <c r="F1194" s="1"/>
      <c r="H1194" s="1"/>
      <c r="I1194" s="1"/>
      <c r="J1194" s="1"/>
      <c r="K1194" s="1"/>
      <c r="L1194" s="1"/>
    </row>
    <row r="1195" spans="6:12" x14ac:dyDescent="0.2">
      <c r="F1195" s="1"/>
      <c r="H1195" s="1"/>
      <c r="I1195" s="1"/>
      <c r="J1195" s="1"/>
      <c r="K1195" s="1"/>
      <c r="L1195" s="1"/>
    </row>
    <row r="1196" spans="6:12" x14ac:dyDescent="0.2">
      <c r="F1196" s="1"/>
      <c r="H1196" s="1"/>
      <c r="I1196" s="1"/>
      <c r="J1196" s="1"/>
      <c r="K1196" s="1"/>
      <c r="L1196" s="1"/>
    </row>
    <row r="1197" spans="6:12" x14ac:dyDescent="0.2">
      <c r="F1197" s="1"/>
      <c r="H1197" s="1"/>
      <c r="I1197" s="1"/>
      <c r="J1197" s="1"/>
      <c r="K1197" s="1"/>
      <c r="L1197" s="1"/>
    </row>
    <row r="1198" spans="6:12" x14ac:dyDescent="0.2">
      <c r="F1198" s="1"/>
      <c r="H1198" s="1"/>
      <c r="I1198" s="1"/>
      <c r="J1198" s="1"/>
      <c r="K1198" s="1"/>
      <c r="L1198" s="1"/>
    </row>
    <row r="1199" spans="6:12" x14ac:dyDescent="0.2">
      <c r="F1199" s="1"/>
      <c r="H1199" s="1"/>
      <c r="I1199" s="1"/>
      <c r="J1199" s="1"/>
      <c r="K1199" s="1"/>
      <c r="L1199" s="1"/>
    </row>
    <row r="1200" spans="6:12" x14ac:dyDescent="0.2">
      <c r="F1200" s="1"/>
      <c r="H1200" s="1"/>
      <c r="I1200" s="1"/>
      <c r="J1200" s="1"/>
      <c r="K1200" s="1"/>
      <c r="L1200" s="1"/>
    </row>
    <row r="1201" spans="6:12" x14ac:dyDescent="0.2">
      <c r="F1201" s="1"/>
      <c r="H1201" s="1"/>
      <c r="I1201" s="1"/>
      <c r="J1201" s="1"/>
      <c r="K1201" s="1"/>
      <c r="L1201" s="1"/>
    </row>
    <row r="1202" spans="6:12" x14ac:dyDescent="0.2">
      <c r="F1202" s="1"/>
      <c r="H1202" s="1"/>
      <c r="I1202" s="1"/>
      <c r="J1202" s="1"/>
      <c r="K1202" s="1"/>
      <c r="L1202" s="1"/>
    </row>
    <row r="1203" spans="6:12" x14ac:dyDescent="0.2">
      <c r="F1203" s="1"/>
      <c r="H1203" s="1"/>
      <c r="I1203" s="1"/>
      <c r="J1203" s="1"/>
      <c r="K1203" s="1"/>
      <c r="L1203" s="1"/>
    </row>
    <row r="1204" spans="6:12" x14ac:dyDescent="0.2">
      <c r="F1204" s="1"/>
      <c r="H1204" s="1"/>
      <c r="I1204" s="1"/>
      <c r="J1204" s="1"/>
      <c r="K1204" s="1"/>
      <c r="L1204" s="1"/>
    </row>
    <row r="1205" spans="6:12" x14ac:dyDescent="0.2">
      <c r="F1205" s="1"/>
      <c r="H1205" s="1"/>
      <c r="I1205" s="1"/>
      <c r="J1205" s="1"/>
      <c r="K1205" s="1"/>
      <c r="L1205" s="1"/>
    </row>
    <row r="1206" spans="6:12" x14ac:dyDescent="0.2">
      <c r="F1206" s="1"/>
      <c r="H1206" s="1"/>
      <c r="I1206" s="1"/>
      <c r="J1206" s="1"/>
      <c r="K1206" s="1"/>
      <c r="L1206" s="1"/>
    </row>
    <row r="1207" spans="6:12" x14ac:dyDescent="0.2">
      <c r="F1207" s="1"/>
      <c r="H1207" s="1"/>
      <c r="I1207" s="1"/>
      <c r="J1207" s="1"/>
      <c r="K1207" s="1"/>
      <c r="L1207" s="1"/>
    </row>
    <row r="1208" spans="6:12" x14ac:dyDescent="0.2">
      <c r="F1208" s="1"/>
      <c r="H1208" s="1"/>
      <c r="I1208" s="1"/>
      <c r="J1208" s="1"/>
      <c r="K1208" s="1"/>
      <c r="L1208" s="1"/>
    </row>
    <row r="1209" spans="6:12" x14ac:dyDescent="0.2">
      <c r="F1209" s="1"/>
      <c r="H1209" s="1"/>
      <c r="I1209" s="1"/>
      <c r="J1209" s="1"/>
      <c r="K1209" s="1"/>
      <c r="L1209" s="1"/>
    </row>
    <row r="1210" spans="6:12" x14ac:dyDescent="0.2">
      <c r="F1210" s="1"/>
      <c r="H1210" s="1"/>
      <c r="I1210" s="1"/>
      <c r="J1210" s="1"/>
      <c r="K1210" s="1"/>
      <c r="L1210" s="1"/>
    </row>
    <row r="1211" spans="6:12" x14ac:dyDescent="0.2">
      <c r="F1211" s="1"/>
      <c r="H1211" s="1"/>
      <c r="I1211" s="1"/>
      <c r="J1211" s="1"/>
      <c r="K1211" s="1"/>
      <c r="L1211" s="1"/>
    </row>
    <row r="1212" spans="6:12" x14ac:dyDescent="0.2">
      <c r="F1212" s="1"/>
      <c r="H1212" s="1"/>
      <c r="I1212" s="1"/>
      <c r="J1212" s="1"/>
      <c r="K1212" s="1"/>
      <c r="L1212" s="1"/>
    </row>
    <row r="1213" spans="6:12" x14ac:dyDescent="0.2">
      <c r="F1213" s="1"/>
      <c r="H1213" s="1"/>
      <c r="I1213" s="1"/>
      <c r="J1213" s="1"/>
      <c r="K1213" s="1"/>
      <c r="L1213" s="1"/>
    </row>
    <row r="1214" spans="6:12" x14ac:dyDescent="0.2">
      <c r="F1214" s="1"/>
      <c r="H1214" s="1"/>
      <c r="I1214" s="1"/>
      <c r="J1214" s="1"/>
      <c r="K1214" s="1"/>
      <c r="L1214" s="1"/>
    </row>
    <row r="1215" spans="6:12" x14ac:dyDescent="0.2">
      <c r="F1215" s="1"/>
      <c r="H1215" s="1"/>
      <c r="I1215" s="1"/>
      <c r="J1215" s="1"/>
      <c r="K1215" s="1"/>
      <c r="L1215" s="1"/>
    </row>
    <row r="1216" spans="6:12" x14ac:dyDescent="0.2">
      <c r="F1216" s="1"/>
      <c r="H1216" s="1"/>
      <c r="I1216" s="1"/>
      <c r="J1216" s="1"/>
      <c r="K1216" s="1"/>
      <c r="L1216" s="1"/>
    </row>
    <row r="1217" spans="6:12" x14ac:dyDescent="0.2">
      <c r="F1217" s="1"/>
      <c r="H1217" s="1"/>
      <c r="I1217" s="1"/>
      <c r="J1217" s="1"/>
      <c r="K1217" s="1"/>
      <c r="L1217" s="1"/>
    </row>
    <row r="1218" spans="6:12" x14ac:dyDescent="0.2">
      <c r="F1218" s="1"/>
      <c r="H1218" s="1"/>
      <c r="I1218" s="1"/>
      <c r="J1218" s="1"/>
      <c r="K1218" s="1"/>
      <c r="L1218" s="1"/>
    </row>
    <row r="1219" spans="6:12" x14ac:dyDescent="0.2">
      <c r="F1219" s="1"/>
      <c r="H1219" s="1"/>
      <c r="I1219" s="1"/>
      <c r="J1219" s="1"/>
      <c r="K1219" s="1"/>
      <c r="L1219" s="1"/>
    </row>
    <row r="1220" spans="6:12" x14ac:dyDescent="0.2">
      <c r="F1220" s="1"/>
      <c r="H1220" s="1"/>
      <c r="I1220" s="1"/>
      <c r="J1220" s="1"/>
      <c r="K1220" s="1"/>
      <c r="L1220" s="1"/>
    </row>
    <row r="1221" spans="6:12" x14ac:dyDescent="0.2">
      <c r="F1221" s="1"/>
      <c r="H1221" s="1"/>
      <c r="I1221" s="1"/>
      <c r="J1221" s="1"/>
      <c r="K1221" s="1"/>
      <c r="L1221" s="1"/>
    </row>
    <row r="1222" spans="6:12" x14ac:dyDescent="0.2">
      <c r="F1222" s="1"/>
      <c r="H1222" s="1"/>
      <c r="I1222" s="1"/>
      <c r="J1222" s="1"/>
      <c r="K1222" s="1"/>
      <c r="L1222" s="1"/>
    </row>
    <row r="1223" spans="6:12" x14ac:dyDescent="0.2">
      <c r="F1223" s="1"/>
      <c r="H1223" s="1"/>
      <c r="I1223" s="1"/>
      <c r="J1223" s="1"/>
      <c r="K1223" s="1"/>
      <c r="L1223" s="1"/>
    </row>
    <row r="1224" spans="6:12" x14ac:dyDescent="0.2">
      <c r="F1224" s="1"/>
      <c r="H1224" s="1"/>
      <c r="I1224" s="1"/>
      <c r="J1224" s="1"/>
      <c r="K1224" s="1"/>
      <c r="L1224" s="1"/>
    </row>
    <row r="1225" spans="6:12" x14ac:dyDescent="0.2">
      <c r="F1225" s="1"/>
      <c r="H1225" s="1"/>
      <c r="I1225" s="1"/>
      <c r="J1225" s="1"/>
      <c r="K1225" s="1"/>
      <c r="L1225" s="1"/>
    </row>
    <row r="1226" spans="6:12" x14ac:dyDescent="0.2">
      <c r="F1226" s="1"/>
      <c r="H1226" s="1"/>
      <c r="I1226" s="1"/>
      <c r="J1226" s="1"/>
      <c r="K1226" s="1"/>
      <c r="L1226" s="1"/>
    </row>
    <row r="1227" spans="6:12" x14ac:dyDescent="0.2">
      <c r="F1227" s="1"/>
      <c r="H1227" s="1"/>
      <c r="I1227" s="1"/>
      <c r="J1227" s="1"/>
      <c r="K1227" s="1"/>
      <c r="L1227" s="1"/>
    </row>
    <row r="1228" spans="6:12" x14ac:dyDescent="0.2">
      <c r="F1228" s="1"/>
      <c r="H1228" s="1"/>
      <c r="I1228" s="1"/>
      <c r="J1228" s="1"/>
      <c r="K1228" s="1"/>
      <c r="L1228" s="1"/>
    </row>
    <row r="1229" spans="6:12" x14ac:dyDescent="0.2">
      <c r="F1229" s="1"/>
      <c r="H1229" s="1"/>
      <c r="I1229" s="1"/>
      <c r="J1229" s="1"/>
      <c r="K1229" s="1"/>
      <c r="L1229" s="1"/>
    </row>
    <row r="1230" spans="6:12" x14ac:dyDescent="0.2">
      <c r="F1230" s="1"/>
      <c r="H1230" s="1"/>
      <c r="I1230" s="1"/>
      <c r="J1230" s="1"/>
      <c r="K1230" s="1"/>
      <c r="L1230" s="1"/>
    </row>
    <row r="1231" spans="6:12" x14ac:dyDescent="0.2">
      <c r="F1231" s="1"/>
      <c r="H1231" s="1"/>
      <c r="I1231" s="1"/>
      <c r="J1231" s="1"/>
      <c r="K1231" s="1"/>
      <c r="L1231" s="1"/>
    </row>
    <row r="1232" spans="6:12" x14ac:dyDescent="0.2">
      <c r="F1232" s="1"/>
      <c r="H1232" s="1"/>
      <c r="I1232" s="1"/>
      <c r="J1232" s="1"/>
      <c r="K1232" s="1"/>
      <c r="L1232" s="1"/>
    </row>
    <row r="1233" spans="6:12" x14ac:dyDescent="0.2">
      <c r="F1233" s="1"/>
      <c r="H1233" s="1"/>
      <c r="I1233" s="1"/>
      <c r="J1233" s="1"/>
      <c r="K1233" s="1"/>
      <c r="L1233" s="1"/>
    </row>
    <row r="1234" spans="6:12" x14ac:dyDescent="0.2">
      <c r="F1234" s="1"/>
      <c r="H1234" s="1"/>
      <c r="I1234" s="1"/>
      <c r="J1234" s="1"/>
      <c r="K1234" s="1"/>
      <c r="L1234" s="1"/>
    </row>
    <row r="1235" spans="6:12" x14ac:dyDescent="0.2">
      <c r="F1235" s="1"/>
      <c r="H1235" s="1"/>
      <c r="I1235" s="1"/>
      <c r="J1235" s="1"/>
      <c r="K1235" s="1"/>
      <c r="L1235" s="1"/>
    </row>
    <row r="1236" spans="6:12" x14ac:dyDescent="0.2">
      <c r="F1236" s="1"/>
      <c r="H1236" s="1"/>
      <c r="I1236" s="1"/>
      <c r="J1236" s="1"/>
      <c r="K1236" s="1"/>
      <c r="L1236" s="1"/>
    </row>
    <row r="1237" spans="6:12" x14ac:dyDescent="0.2">
      <c r="F1237" s="1"/>
      <c r="H1237" s="1"/>
      <c r="I1237" s="1"/>
      <c r="J1237" s="1"/>
      <c r="K1237" s="1"/>
      <c r="L1237" s="1"/>
    </row>
    <row r="1238" spans="6:12" x14ac:dyDescent="0.2">
      <c r="F1238" s="1"/>
      <c r="H1238" s="1"/>
      <c r="I1238" s="1"/>
      <c r="J1238" s="1"/>
      <c r="K1238" s="1"/>
      <c r="L1238" s="1"/>
    </row>
    <row r="1239" spans="6:12" x14ac:dyDescent="0.2">
      <c r="F1239" s="1"/>
      <c r="H1239" s="1"/>
      <c r="I1239" s="1"/>
      <c r="J1239" s="1"/>
      <c r="K1239" s="1"/>
      <c r="L1239" s="1"/>
    </row>
    <row r="1240" spans="6:12" x14ac:dyDescent="0.2">
      <c r="F1240" s="1"/>
      <c r="H1240" s="1"/>
      <c r="I1240" s="1"/>
      <c r="J1240" s="1"/>
      <c r="K1240" s="1"/>
      <c r="L1240" s="1"/>
    </row>
    <row r="1241" spans="6:12" x14ac:dyDescent="0.2">
      <c r="F1241" s="1"/>
      <c r="H1241" s="1"/>
      <c r="I1241" s="1"/>
      <c r="J1241" s="1"/>
      <c r="K1241" s="1"/>
      <c r="L1241" s="1"/>
    </row>
    <row r="1242" spans="6:12" x14ac:dyDescent="0.2">
      <c r="F1242" s="1"/>
      <c r="H1242" s="1"/>
      <c r="I1242" s="1"/>
      <c r="J1242" s="1"/>
      <c r="K1242" s="1"/>
      <c r="L1242" s="1"/>
    </row>
    <row r="1243" spans="6:12" x14ac:dyDescent="0.2">
      <c r="F1243" s="1"/>
      <c r="H1243" s="1"/>
      <c r="I1243" s="1"/>
      <c r="J1243" s="1"/>
      <c r="K1243" s="1"/>
      <c r="L1243" s="1"/>
    </row>
    <row r="1244" spans="6:12" x14ac:dyDescent="0.2">
      <c r="F1244" s="1"/>
      <c r="H1244" s="1"/>
      <c r="I1244" s="1"/>
      <c r="J1244" s="1"/>
      <c r="K1244" s="1"/>
      <c r="L1244" s="1"/>
    </row>
    <row r="1245" spans="6:12" x14ac:dyDescent="0.2">
      <c r="F1245" s="1"/>
      <c r="H1245" s="1"/>
      <c r="I1245" s="1"/>
      <c r="J1245" s="1"/>
      <c r="K1245" s="1"/>
      <c r="L1245" s="1"/>
    </row>
    <row r="1246" spans="6:12" x14ac:dyDescent="0.2">
      <c r="F1246" s="1"/>
      <c r="H1246" s="1"/>
      <c r="I1246" s="1"/>
      <c r="J1246" s="1"/>
      <c r="K1246" s="1"/>
      <c r="L1246" s="1"/>
    </row>
    <row r="1247" spans="6:12" x14ac:dyDescent="0.2">
      <c r="F1247" s="1"/>
      <c r="H1247" s="1"/>
      <c r="I1247" s="1"/>
      <c r="J1247" s="1"/>
      <c r="K1247" s="1"/>
      <c r="L1247" s="1"/>
    </row>
    <row r="1248" spans="6:12" x14ac:dyDescent="0.2">
      <c r="F1248" s="1"/>
      <c r="H1248" s="1"/>
      <c r="I1248" s="1"/>
      <c r="J1248" s="1"/>
      <c r="K1248" s="1"/>
      <c r="L1248" s="1"/>
    </row>
    <row r="1249" spans="6:12" x14ac:dyDescent="0.2">
      <c r="F1249" s="1"/>
      <c r="H1249" s="1"/>
      <c r="I1249" s="1"/>
      <c r="J1249" s="1"/>
      <c r="K1249" s="1"/>
      <c r="L1249" s="1"/>
    </row>
    <row r="1250" spans="6:12" x14ac:dyDescent="0.2">
      <c r="F1250" s="1"/>
      <c r="H1250" s="1"/>
      <c r="I1250" s="1"/>
      <c r="J1250" s="1"/>
      <c r="K1250" s="1"/>
      <c r="L1250" s="1"/>
    </row>
    <row r="1251" spans="6:12" x14ac:dyDescent="0.2">
      <c r="F1251" s="1"/>
      <c r="H1251" s="1"/>
      <c r="I1251" s="1"/>
      <c r="J1251" s="1"/>
      <c r="K1251" s="1"/>
      <c r="L1251" s="1"/>
    </row>
    <row r="1252" spans="6:12" x14ac:dyDescent="0.2">
      <c r="F1252" s="1"/>
      <c r="H1252" s="1"/>
      <c r="I1252" s="1"/>
      <c r="J1252" s="1"/>
      <c r="K1252" s="1"/>
      <c r="L1252" s="1"/>
    </row>
    <row r="1253" spans="6:12" x14ac:dyDescent="0.2">
      <c r="F1253" s="1"/>
      <c r="H1253" s="1"/>
      <c r="I1253" s="1"/>
      <c r="J1253" s="1"/>
      <c r="K1253" s="1"/>
      <c r="L1253" s="1"/>
    </row>
    <row r="1254" spans="6:12" x14ac:dyDescent="0.2">
      <c r="F1254" s="1"/>
      <c r="H1254" s="1"/>
      <c r="I1254" s="1"/>
      <c r="J1254" s="1"/>
      <c r="K1254" s="1"/>
      <c r="L1254" s="1"/>
    </row>
    <row r="1255" spans="6:12" x14ac:dyDescent="0.2">
      <c r="F1255" s="1"/>
      <c r="H1255" s="1"/>
      <c r="I1255" s="1"/>
      <c r="J1255" s="1"/>
      <c r="K1255" s="1"/>
      <c r="L1255" s="1"/>
    </row>
    <row r="1256" spans="6:12" x14ac:dyDescent="0.2">
      <c r="F1256" s="1"/>
      <c r="H1256" s="1"/>
      <c r="I1256" s="1"/>
      <c r="J1256" s="1"/>
      <c r="K1256" s="1"/>
      <c r="L1256" s="1"/>
    </row>
    <row r="1257" spans="6:12" x14ac:dyDescent="0.2">
      <c r="F1257" s="1"/>
      <c r="H1257" s="1"/>
      <c r="I1257" s="1"/>
      <c r="J1257" s="1"/>
      <c r="K1257" s="1"/>
      <c r="L1257" s="1"/>
    </row>
    <row r="1258" spans="6:12" x14ac:dyDescent="0.2">
      <c r="F1258" s="1"/>
      <c r="H1258" s="1"/>
      <c r="I1258" s="1"/>
      <c r="J1258" s="1"/>
      <c r="K1258" s="1"/>
      <c r="L1258" s="1"/>
    </row>
    <row r="1259" spans="6:12" x14ac:dyDescent="0.2">
      <c r="F1259" s="1"/>
      <c r="H1259" s="1"/>
      <c r="I1259" s="1"/>
      <c r="J1259" s="1"/>
      <c r="K1259" s="1"/>
      <c r="L1259" s="1"/>
    </row>
    <row r="1260" spans="6:12" x14ac:dyDescent="0.2">
      <c r="F1260" s="1"/>
      <c r="H1260" s="1"/>
      <c r="I1260" s="1"/>
      <c r="J1260" s="1"/>
      <c r="K1260" s="1"/>
      <c r="L1260" s="1"/>
    </row>
    <row r="1261" spans="6:12" x14ac:dyDescent="0.2">
      <c r="F1261" s="1"/>
      <c r="H1261" s="1"/>
      <c r="I1261" s="1"/>
      <c r="J1261" s="1"/>
      <c r="K1261" s="1"/>
      <c r="L1261" s="1"/>
    </row>
    <row r="1262" spans="6:12" x14ac:dyDescent="0.2">
      <c r="F1262" s="1"/>
      <c r="H1262" s="1"/>
      <c r="I1262" s="1"/>
      <c r="J1262" s="1"/>
      <c r="K1262" s="1"/>
      <c r="L1262" s="1"/>
    </row>
    <row r="1263" spans="6:12" x14ac:dyDescent="0.2">
      <c r="F1263" s="1"/>
      <c r="H1263" s="1"/>
      <c r="I1263" s="1"/>
      <c r="J1263" s="1"/>
      <c r="K1263" s="1"/>
      <c r="L1263" s="1"/>
    </row>
    <row r="1264" spans="6:12" x14ac:dyDescent="0.2">
      <c r="F1264" s="1"/>
      <c r="H1264" s="1"/>
      <c r="I1264" s="1"/>
      <c r="J1264" s="1"/>
      <c r="K1264" s="1"/>
      <c r="L1264" s="1"/>
    </row>
    <row r="1265" spans="6:12" x14ac:dyDescent="0.2">
      <c r="F1265" s="1"/>
      <c r="H1265" s="1"/>
      <c r="I1265" s="1"/>
      <c r="J1265" s="1"/>
      <c r="K1265" s="1"/>
      <c r="L1265" s="1"/>
    </row>
    <row r="1266" spans="6:12" x14ac:dyDescent="0.2">
      <c r="F1266" s="1"/>
      <c r="H1266" s="1"/>
      <c r="I1266" s="1"/>
      <c r="J1266" s="1"/>
      <c r="K1266" s="1"/>
      <c r="L1266" s="1"/>
    </row>
    <row r="1267" spans="6:12" x14ac:dyDescent="0.2">
      <c r="F1267" s="1"/>
      <c r="H1267" s="1"/>
      <c r="I1267" s="1"/>
      <c r="J1267" s="1"/>
      <c r="K1267" s="1"/>
      <c r="L1267" s="1"/>
    </row>
    <row r="1268" spans="6:12" x14ac:dyDescent="0.2">
      <c r="F1268" s="1"/>
      <c r="H1268" s="1"/>
      <c r="I1268" s="1"/>
      <c r="J1268" s="1"/>
      <c r="K1268" s="1"/>
      <c r="L1268" s="1"/>
    </row>
    <row r="1269" spans="6:12" x14ac:dyDescent="0.2">
      <c r="F1269" s="1"/>
      <c r="H1269" s="1"/>
      <c r="I1269" s="1"/>
      <c r="J1269" s="1"/>
      <c r="K1269" s="1"/>
      <c r="L1269" s="1"/>
    </row>
    <row r="1270" spans="6:12" x14ac:dyDescent="0.2">
      <c r="F1270" s="1"/>
      <c r="H1270" s="1"/>
      <c r="I1270" s="1"/>
      <c r="J1270" s="1"/>
      <c r="K1270" s="1"/>
      <c r="L1270" s="1"/>
    </row>
    <row r="1271" spans="6:12" x14ac:dyDescent="0.2">
      <c r="F1271" s="1"/>
      <c r="H1271" s="1"/>
      <c r="I1271" s="1"/>
      <c r="J1271" s="1"/>
      <c r="K1271" s="1"/>
      <c r="L1271" s="1"/>
    </row>
    <row r="1272" spans="6:12" x14ac:dyDescent="0.2">
      <c r="F1272" s="1"/>
      <c r="H1272" s="1"/>
      <c r="I1272" s="1"/>
      <c r="J1272" s="1"/>
      <c r="K1272" s="1"/>
      <c r="L1272" s="1"/>
    </row>
    <row r="1273" spans="6:12" x14ac:dyDescent="0.2">
      <c r="F1273" s="1"/>
      <c r="H1273" s="1"/>
      <c r="I1273" s="1"/>
      <c r="J1273" s="1"/>
      <c r="K1273" s="1"/>
      <c r="L1273" s="1"/>
    </row>
    <row r="1274" spans="6:12" x14ac:dyDescent="0.2">
      <c r="F1274" s="1"/>
      <c r="H1274" s="1"/>
      <c r="I1274" s="1"/>
      <c r="J1274" s="1"/>
      <c r="K1274" s="1"/>
      <c r="L1274" s="1"/>
    </row>
    <row r="1275" spans="6:12" x14ac:dyDescent="0.2">
      <c r="F1275" s="1"/>
      <c r="H1275" s="1"/>
      <c r="I1275" s="1"/>
      <c r="J1275" s="1"/>
      <c r="K1275" s="1"/>
      <c r="L1275" s="1"/>
    </row>
    <row r="1276" spans="6:12" x14ac:dyDescent="0.2">
      <c r="F1276" s="1"/>
      <c r="H1276" s="1"/>
      <c r="I1276" s="1"/>
      <c r="J1276" s="1"/>
      <c r="K1276" s="1"/>
      <c r="L1276" s="1"/>
    </row>
    <row r="1277" spans="6:12" x14ac:dyDescent="0.2">
      <c r="F1277" s="1"/>
      <c r="H1277" s="1"/>
      <c r="I1277" s="1"/>
      <c r="J1277" s="1"/>
      <c r="K1277" s="1"/>
      <c r="L1277" s="1"/>
    </row>
    <row r="1278" spans="6:12" x14ac:dyDescent="0.2">
      <c r="F1278" s="1"/>
      <c r="H1278" s="1"/>
      <c r="I1278" s="1"/>
      <c r="J1278" s="1"/>
      <c r="K1278" s="1"/>
      <c r="L1278" s="1"/>
    </row>
    <row r="1279" spans="6:12" x14ac:dyDescent="0.2">
      <c r="F1279" s="1"/>
      <c r="H1279" s="1"/>
      <c r="I1279" s="1"/>
      <c r="J1279" s="1"/>
      <c r="K1279" s="1"/>
      <c r="L1279" s="1"/>
    </row>
    <row r="1280" spans="6:12" x14ac:dyDescent="0.2">
      <c r="F1280" s="1"/>
      <c r="H1280" s="1"/>
      <c r="I1280" s="1"/>
      <c r="J1280" s="1"/>
      <c r="K1280" s="1"/>
      <c r="L1280" s="1"/>
    </row>
    <row r="1281" spans="6:12" x14ac:dyDescent="0.2">
      <c r="F1281" s="1"/>
      <c r="H1281" s="1"/>
      <c r="I1281" s="1"/>
      <c r="J1281" s="1"/>
      <c r="K1281" s="1"/>
      <c r="L1281" s="1"/>
    </row>
    <row r="1282" spans="6:12" x14ac:dyDescent="0.2">
      <c r="F1282" s="1"/>
      <c r="H1282" s="1"/>
      <c r="I1282" s="1"/>
      <c r="J1282" s="1"/>
      <c r="K1282" s="1"/>
      <c r="L1282" s="1"/>
    </row>
    <row r="1283" spans="6:12" x14ac:dyDescent="0.2">
      <c r="F1283" s="1"/>
      <c r="H1283" s="1"/>
      <c r="I1283" s="1"/>
      <c r="J1283" s="1"/>
      <c r="K1283" s="1"/>
      <c r="L1283" s="1"/>
    </row>
    <row r="1284" spans="6:12" x14ac:dyDescent="0.2">
      <c r="F1284" s="1"/>
      <c r="H1284" s="1"/>
      <c r="I1284" s="1"/>
      <c r="J1284" s="1"/>
      <c r="K1284" s="1"/>
      <c r="L1284" s="1"/>
    </row>
    <row r="1285" spans="6:12" x14ac:dyDescent="0.2">
      <c r="F1285" s="1"/>
      <c r="H1285" s="1"/>
      <c r="I1285" s="1"/>
      <c r="J1285" s="1"/>
      <c r="K1285" s="1"/>
      <c r="L1285" s="1"/>
    </row>
    <row r="1286" spans="6:12" x14ac:dyDescent="0.2">
      <c r="F1286" s="1"/>
      <c r="H1286" s="1"/>
      <c r="I1286" s="1"/>
      <c r="J1286" s="1"/>
      <c r="K1286" s="1"/>
      <c r="L1286" s="1"/>
    </row>
    <row r="1287" spans="6:12" x14ac:dyDescent="0.2">
      <c r="F1287" s="1"/>
      <c r="H1287" s="1"/>
      <c r="I1287" s="1"/>
      <c r="J1287" s="1"/>
      <c r="K1287" s="1"/>
      <c r="L1287" s="1"/>
    </row>
    <row r="1288" spans="6:12" x14ac:dyDescent="0.2">
      <c r="F1288" s="1"/>
      <c r="H1288" s="1"/>
      <c r="I1288" s="1"/>
      <c r="J1288" s="1"/>
      <c r="K1288" s="1"/>
      <c r="L1288" s="1"/>
    </row>
    <row r="1289" spans="6:12" x14ac:dyDescent="0.2">
      <c r="F1289" s="1"/>
      <c r="H1289" s="1"/>
      <c r="I1289" s="1"/>
      <c r="J1289" s="1"/>
      <c r="K1289" s="1"/>
      <c r="L1289" s="1"/>
    </row>
    <row r="1290" spans="6:12" x14ac:dyDescent="0.2">
      <c r="F1290" s="1"/>
      <c r="H1290" s="1"/>
      <c r="I1290" s="1"/>
      <c r="J1290" s="1"/>
      <c r="K1290" s="1"/>
      <c r="L1290" s="1"/>
    </row>
    <row r="1291" spans="6:12" x14ac:dyDescent="0.2">
      <c r="F1291" s="1"/>
      <c r="H1291" s="1"/>
      <c r="I1291" s="1"/>
      <c r="J1291" s="1"/>
      <c r="K1291" s="1"/>
      <c r="L1291" s="1"/>
    </row>
    <row r="1292" spans="6:12" x14ac:dyDescent="0.2">
      <c r="F1292" s="1"/>
      <c r="H1292" s="1"/>
      <c r="I1292" s="1"/>
      <c r="J1292" s="1"/>
      <c r="K1292" s="1"/>
      <c r="L1292" s="1"/>
    </row>
    <row r="1293" spans="6:12" x14ac:dyDescent="0.2">
      <c r="F1293" s="1"/>
      <c r="H1293" s="1"/>
      <c r="I1293" s="1"/>
      <c r="J1293" s="1"/>
      <c r="K1293" s="1"/>
      <c r="L1293" s="1"/>
    </row>
    <row r="1294" spans="6:12" x14ac:dyDescent="0.2">
      <c r="F1294" s="1"/>
      <c r="H1294" s="1"/>
      <c r="I1294" s="1"/>
      <c r="J1294" s="1"/>
      <c r="K1294" s="1"/>
      <c r="L1294" s="1"/>
    </row>
    <row r="1295" spans="6:12" x14ac:dyDescent="0.2">
      <c r="F1295" s="1"/>
      <c r="H1295" s="1"/>
      <c r="I1295" s="1"/>
      <c r="J1295" s="1"/>
      <c r="K1295" s="1"/>
      <c r="L1295" s="1"/>
    </row>
    <row r="1296" spans="6:12" x14ac:dyDescent="0.2">
      <c r="F1296" s="1"/>
      <c r="H1296" s="1"/>
      <c r="I1296" s="1"/>
      <c r="J1296" s="1"/>
      <c r="K1296" s="1"/>
      <c r="L1296" s="1"/>
    </row>
    <row r="1297" spans="6:12" x14ac:dyDescent="0.2">
      <c r="F1297" s="1"/>
      <c r="H1297" s="1"/>
      <c r="I1297" s="1"/>
      <c r="J1297" s="1"/>
      <c r="K1297" s="1"/>
      <c r="L1297" s="1"/>
    </row>
    <row r="1298" spans="6:12" x14ac:dyDescent="0.2">
      <c r="F1298" s="1"/>
      <c r="H1298" s="1"/>
      <c r="I1298" s="1"/>
      <c r="J1298" s="1"/>
      <c r="K1298" s="1"/>
      <c r="L1298" s="1"/>
    </row>
    <row r="1299" spans="6:12" x14ac:dyDescent="0.2">
      <c r="F1299" s="1"/>
      <c r="H1299" s="1"/>
      <c r="I1299" s="1"/>
      <c r="J1299" s="1"/>
      <c r="K1299" s="1"/>
      <c r="L1299" s="1"/>
    </row>
    <row r="1300" spans="6:12" x14ac:dyDescent="0.2">
      <c r="F1300" s="1"/>
      <c r="H1300" s="1"/>
      <c r="I1300" s="1"/>
      <c r="J1300" s="1"/>
      <c r="K1300" s="1"/>
      <c r="L1300" s="1"/>
    </row>
    <row r="1301" spans="6:12" x14ac:dyDescent="0.2">
      <c r="F1301" s="1"/>
      <c r="H1301" s="1"/>
      <c r="I1301" s="1"/>
      <c r="J1301" s="1"/>
      <c r="K1301" s="1"/>
      <c r="L1301" s="1"/>
    </row>
    <row r="1302" spans="6:12" x14ac:dyDescent="0.2">
      <c r="F1302" s="1"/>
      <c r="H1302" s="1"/>
      <c r="I1302" s="1"/>
      <c r="J1302" s="1"/>
      <c r="K1302" s="1"/>
      <c r="L1302" s="1"/>
    </row>
    <row r="1303" spans="6:12" x14ac:dyDescent="0.2">
      <c r="F1303" s="1"/>
      <c r="H1303" s="1"/>
      <c r="I1303" s="1"/>
      <c r="J1303" s="1"/>
      <c r="K1303" s="1"/>
      <c r="L1303" s="1"/>
    </row>
    <row r="1304" spans="6:12" x14ac:dyDescent="0.2">
      <c r="F1304" s="1"/>
      <c r="H1304" s="1"/>
      <c r="I1304" s="1"/>
      <c r="J1304" s="1"/>
      <c r="K1304" s="1"/>
      <c r="L1304" s="1"/>
    </row>
    <row r="1305" spans="6:12" x14ac:dyDescent="0.2">
      <c r="F1305" s="1"/>
      <c r="H1305" s="1"/>
      <c r="I1305" s="1"/>
      <c r="J1305" s="1"/>
      <c r="K1305" s="1"/>
      <c r="L1305" s="1"/>
    </row>
    <row r="1306" spans="6:12" x14ac:dyDescent="0.2">
      <c r="F1306" s="1"/>
      <c r="H1306" s="1"/>
      <c r="I1306" s="1"/>
      <c r="J1306" s="1"/>
      <c r="K1306" s="1"/>
      <c r="L1306" s="1"/>
    </row>
    <row r="1307" spans="6:12" x14ac:dyDescent="0.2">
      <c r="F1307" s="1"/>
      <c r="H1307" s="1"/>
      <c r="I1307" s="1"/>
      <c r="J1307" s="1"/>
      <c r="K1307" s="1"/>
      <c r="L1307" s="1"/>
    </row>
    <row r="1308" spans="6:12" x14ac:dyDescent="0.2">
      <c r="F1308" s="1"/>
      <c r="H1308" s="1"/>
      <c r="I1308" s="1"/>
      <c r="J1308" s="1"/>
      <c r="K1308" s="1"/>
      <c r="L1308" s="1"/>
    </row>
    <row r="1309" spans="6:12" x14ac:dyDescent="0.2">
      <c r="F1309" s="1"/>
      <c r="H1309" s="1"/>
      <c r="I1309" s="1"/>
      <c r="J1309" s="1"/>
      <c r="K1309" s="1"/>
      <c r="L1309" s="1"/>
    </row>
    <row r="1310" spans="6:12" x14ac:dyDescent="0.2">
      <c r="F1310" s="1"/>
      <c r="H1310" s="1"/>
      <c r="I1310" s="1"/>
      <c r="J1310" s="1"/>
      <c r="K1310" s="1"/>
      <c r="L1310" s="1"/>
    </row>
    <row r="1311" spans="6:12" x14ac:dyDescent="0.2">
      <c r="F1311" s="1"/>
      <c r="H1311" s="1"/>
      <c r="I1311" s="1"/>
      <c r="J1311" s="1"/>
      <c r="K1311" s="1"/>
      <c r="L1311" s="1"/>
    </row>
    <row r="1312" spans="6:12" x14ac:dyDescent="0.2">
      <c r="F1312" s="1"/>
      <c r="H1312" s="1"/>
      <c r="I1312" s="1"/>
      <c r="J1312" s="1"/>
      <c r="K1312" s="1"/>
      <c r="L1312" s="1"/>
    </row>
    <row r="1313" spans="6:12" x14ac:dyDescent="0.2">
      <c r="F1313" s="1"/>
      <c r="H1313" s="1"/>
      <c r="I1313" s="1"/>
      <c r="J1313" s="1"/>
      <c r="K1313" s="1"/>
      <c r="L1313" s="1"/>
    </row>
    <row r="1314" spans="6:12" x14ac:dyDescent="0.2">
      <c r="F1314" s="1"/>
      <c r="H1314" s="1"/>
      <c r="I1314" s="1"/>
      <c r="J1314" s="1"/>
      <c r="K1314" s="1"/>
      <c r="L1314" s="1"/>
    </row>
    <row r="1315" spans="6:12" x14ac:dyDescent="0.2">
      <c r="F1315" s="1"/>
      <c r="H1315" s="1"/>
      <c r="I1315" s="1"/>
      <c r="J1315" s="1"/>
      <c r="K1315" s="1"/>
      <c r="L1315" s="1"/>
    </row>
    <row r="1316" spans="6:12" x14ac:dyDescent="0.2">
      <c r="F1316" s="1"/>
      <c r="H1316" s="1"/>
      <c r="I1316" s="1"/>
      <c r="J1316" s="1"/>
      <c r="K1316" s="1"/>
      <c r="L1316" s="1"/>
    </row>
    <row r="1317" spans="6:12" x14ac:dyDescent="0.2">
      <c r="F1317" s="1"/>
      <c r="H1317" s="1"/>
      <c r="I1317" s="1"/>
      <c r="J1317" s="1"/>
      <c r="K1317" s="1"/>
      <c r="L1317" s="1"/>
    </row>
    <row r="1318" spans="6:12" x14ac:dyDescent="0.2">
      <c r="F1318" s="1"/>
      <c r="H1318" s="1"/>
      <c r="I1318" s="1"/>
      <c r="J1318" s="1"/>
      <c r="K1318" s="1"/>
      <c r="L1318" s="1"/>
    </row>
    <row r="1319" spans="6:12" x14ac:dyDescent="0.2">
      <c r="F1319" s="1"/>
      <c r="H1319" s="1"/>
      <c r="I1319" s="1"/>
      <c r="J1319" s="1"/>
      <c r="K1319" s="1"/>
      <c r="L1319" s="1"/>
    </row>
    <row r="1320" spans="6:12" x14ac:dyDescent="0.2">
      <c r="F1320" s="1"/>
      <c r="H1320" s="1"/>
      <c r="I1320" s="1"/>
      <c r="J1320" s="1"/>
      <c r="K1320" s="1"/>
      <c r="L1320" s="1"/>
    </row>
    <row r="1321" spans="6:12" x14ac:dyDescent="0.2">
      <c r="F1321" s="1"/>
      <c r="H1321" s="1"/>
      <c r="I1321" s="1"/>
      <c r="J1321" s="1"/>
      <c r="K1321" s="1"/>
      <c r="L1321" s="1"/>
    </row>
    <row r="1322" spans="6:12" x14ac:dyDescent="0.2">
      <c r="F1322" s="1"/>
      <c r="H1322" s="1"/>
      <c r="I1322" s="1"/>
      <c r="J1322" s="1"/>
      <c r="K1322" s="1"/>
      <c r="L1322" s="1"/>
    </row>
    <row r="1323" spans="6:12" x14ac:dyDescent="0.2">
      <c r="F1323" s="1"/>
      <c r="H1323" s="1"/>
      <c r="I1323" s="1"/>
      <c r="J1323" s="1"/>
      <c r="K1323" s="1"/>
      <c r="L1323" s="1"/>
    </row>
    <row r="1324" spans="6:12" x14ac:dyDescent="0.2">
      <c r="F1324" s="1"/>
      <c r="H1324" s="1"/>
      <c r="I1324" s="1"/>
      <c r="J1324" s="1"/>
      <c r="K1324" s="1"/>
      <c r="L1324" s="1"/>
    </row>
    <row r="1325" spans="6:12" x14ac:dyDescent="0.2">
      <c r="F1325" s="1"/>
      <c r="H1325" s="1"/>
      <c r="I1325" s="1"/>
      <c r="J1325" s="1"/>
      <c r="K1325" s="1"/>
      <c r="L1325" s="1"/>
    </row>
    <row r="1326" spans="6:12" x14ac:dyDescent="0.2">
      <c r="F1326" s="1"/>
      <c r="H1326" s="1"/>
      <c r="I1326" s="1"/>
      <c r="J1326" s="1"/>
      <c r="K1326" s="1"/>
      <c r="L1326" s="1"/>
    </row>
    <row r="1327" spans="6:12" x14ac:dyDescent="0.2">
      <c r="F1327" s="1"/>
      <c r="H1327" s="1"/>
      <c r="I1327" s="1"/>
      <c r="J1327" s="1"/>
      <c r="K1327" s="1"/>
      <c r="L1327" s="1"/>
    </row>
    <row r="1328" spans="6:12" x14ac:dyDescent="0.2">
      <c r="F1328" s="1"/>
      <c r="H1328" s="1"/>
      <c r="I1328" s="1"/>
      <c r="J1328" s="1"/>
      <c r="K1328" s="1"/>
      <c r="L1328" s="1"/>
    </row>
    <row r="1329" spans="6:12" x14ac:dyDescent="0.2">
      <c r="F1329" s="1"/>
      <c r="H1329" s="1"/>
      <c r="I1329" s="1"/>
      <c r="J1329" s="1"/>
      <c r="K1329" s="1"/>
      <c r="L1329" s="1"/>
    </row>
    <row r="1330" spans="6:12" x14ac:dyDescent="0.2">
      <c r="F1330" s="1"/>
      <c r="H1330" s="1"/>
      <c r="I1330" s="1"/>
      <c r="J1330" s="1"/>
      <c r="K1330" s="1"/>
      <c r="L1330" s="1"/>
    </row>
  </sheetData>
  <pageMargins left="0.75" right="0.75" top="1" bottom="1" header="0.5" footer="0.5"/>
  <pageSetup paperSize="9"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</vt:i4>
      </vt:variant>
    </vt:vector>
  </HeadingPairs>
  <TitlesOfParts>
    <vt:vector size="14" baseType="lpstr">
      <vt:lpstr>Detail5</vt:lpstr>
      <vt:lpstr>Detail6</vt:lpstr>
      <vt:lpstr>Detail7</vt:lpstr>
      <vt:lpstr>Detail8</vt:lpstr>
      <vt:lpstr>Detail1</vt:lpstr>
      <vt:lpstr>Detail2</vt:lpstr>
      <vt:lpstr>Detail3</vt:lpstr>
      <vt:lpstr>Detail4</vt:lpstr>
      <vt:lpstr>Detail9</vt:lpstr>
      <vt:lpstr>Detail10</vt:lpstr>
      <vt:lpstr>Detail11</vt:lpstr>
      <vt:lpstr>Sheet1</vt:lpstr>
      <vt:lpstr>item-sales-summary-2025-06-02-2</vt:lpstr>
      <vt:lpstr>Sheet1!Print_Area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Christophe Denoux</dc:creator>
  <cp:lastModifiedBy>Christophe Denoux</cp:lastModifiedBy>
  <cp:lastPrinted>2025-10-13T04:40:11Z</cp:lastPrinted>
  <dcterms:created xsi:type="dcterms:W3CDTF">2025-06-08T21:30:15Z</dcterms:created>
  <dcterms:modified xsi:type="dcterms:W3CDTF">2025-10-14T05:03:14Z</dcterms:modified>
</cp:coreProperties>
</file>